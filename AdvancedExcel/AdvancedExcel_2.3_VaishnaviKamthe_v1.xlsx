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achra\Rudder Assignments\"/>
    </mc:Choice>
  </mc:AlternateContent>
  <bookViews>
    <workbookView xWindow="0" yWindow="0" windowWidth="19200" windowHeight="7190" activeTab="1"/>
  </bookViews>
  <sheets>
    <sheet name="Instructions" sheetId="3" r:id="rId1"/>
    <sheet name="Assignment 8 - Grade Sheet" sheetId="1" r:id="rId2"/>
  </sheets>
  <definedNames>
    <definedName name="_xlnm._FilterDatabase" localSheetId="1" hidden="1">'Assignment 8 - Grade Sheet'!$A$4:$J$36</definedName>
    <definedName name="_xlnm.Print_Area" localSheetId="1">'Assignment 8 - Grade Sheet'!$A$2:$K$36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1" i="1" l="1"/>
  <c r="K17" i="1" l="1"/>
  <c r="K18" i="1"/>
  <c r="K19" i="1"/>
  <c r="K20" i="1"/>
  <c r="K16" i="1"/>
  <c r="J20" i="1"/>
  <c r="J19" i="1"/>
  <c r="J18" i="1"/>
  <c r="J17" i="1"/>
  <c r="J16" i="1"/>
  <c r="K9" i="1"/>
  <c r="K10" i="1"/>
  <c r="K11" i="1"/>
  <c r="K12" i="1"/>
  <c r="K8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5" i="1"/>
  <c r="D35" i="1" l="1"/>
  <c r="D36" i="1"/>
  <c r="I8" i="1" l="1"/>
</calcChain>
</file>

<file path=xl/sharedStrings.xml><?xml version="1.0" encoding="utf-8"?>
<sst xmlns="http://schemas.openxmlformats.org/spreadsheetml/2006/main" count="106" uniqueCount="93">
  <si>
    <t>Last Name</t>
  </si>
  <si>
    <t>First Name</t>
  </si>
  <si>
    <t>Raw Score</t>
  </si>
  <si>
    <t>Grade</t>
  </si>
  <si>
    <t>John</t>
  </si>
  <si>
    <t>Antonio</t>
  </si>
  <si>
    <t>Banderas</t>
  </si>
  <si>
    <t>Tom</t>
  </si>
  <si>
    <t>Cruise</t>
  </si>
  <si>
    <t>Julia</t>
  </si>
  <si>
    <t>Roberts</t>
  </si>
  <si>
    <t>Tony</t>
  </si>
  <si>
    <t>Blair</t>
  </si>
  <si>
    <t>Frank</t>
  </si>
  <si>
    <t>Sinatra</t>
  </si>
  <si>
    <t>Clinton</t>
  </si>
  <si>
    <t>Steinbeck</t>
  </si>
  <si>
    <t>Jackson</t>
  </si>
  <si>
    <t>Janet</t>
  </si>
  <si>
    <t>Oprah</t>
  </si>
  <si>
    <t>Davis</t>
  </si>
  <si>
    <t>Miles</t>
  </si>
  <si>
    <t>Winfrey</t>
  </si>
  <si>
    <t>Marilyn</t>
  </si>
  <si>
    <t>Mike</t>
  </si>
  <si>
    <t>Tyson</t>
  </si>
  <si>
    <t>Potter</t>
  </si>
  <si>
    <t>Harry</t>
  </si>
  <si>
    <t>Elvis</t>
  </si>
  <si>
    <t>Standard Deviation</t>
  </si>
  <si>
    <t>#</t>
  </si>
  <si>
    <t>Standard Deviations from Mean</t>
  </si>
  <si>
    <t>A</t>
  </si>
  <si>
    <t>B</t>
  </si>
  <si>
    <t>C</t>
  </si>
  <si>
    <t>D</t>
  </si>
  <si>
    <t>F</t>
  </si>
  <si>
    <t>Difference from Mean</t>
  </si>
  <si>
    <t>William J.</t>
  </si>
  <si>
    <t>Elton</t>
  </si>
  <si>
    <t>Woods</t>
  </si>
  <si>
    <t>Tiger</t>
  </si>
  <si>
    <t>Average Raw Score</t>
  </si>
  <si>
    <t>Minimum Raw Score Cutoff</t>
  </si>
  <si>
    <t>Calculated Grading Curve</t>
  </si>
  <si>
    <t>Count</t>
  </si>
  <si>
    <t>%</t>
  </si>
  <si>
    <t>Total</t>
  </si>
  <si>
    <t>Resulting Grade Distribution</t>
  </si>
  <si>
    <t>StDevs From Mean</t>
  </si>
  <si>
    <t>- Test had a total of 100 possible points</t>
  </si>
  <si>
    <t>Allende</t>
  </si>
  <si>
    <t>Annan</t>
  </si>
  <si>
    <t>Isabelle</t>
  </si>
  <si>
    <t>Armstrong</t>
  </si>
  <si>
    <t>Vladimir</t>
  </si>
  <si>
    <t>Becker</t>
  </si>
  <si>
    <t>Beckham</t>
  </si>
  <si>
    <t>Richard</t>
  </si>
  <si>
    <t>Albert</t>
  </si>
  <si>
    <t>Camus</t>
  </si>
  <si>
    <t>Lance</t>
  </si>
  <si>
    <t>Chirac</t>
  </si>
  <si>
    <t>Costello</t>
  </si>
  <si>
    <t>Ian</t>
  </si>
  <si>
    <t>Dickens</t>
  </si>
  <si>
    <t>Thomas</t>
  </si>
  <si>
    <t>Edison</t>
  </si>
  <si>
    <t>Gebrselassie</t>
  </si>
  <si>
    <t>Charles</t>
  </si>
  <si>
    <t>David</t>
  </si>
  <si>
    <t>Monroe</t>
  </si>
  <si>
    <t>Deng</t>
  </si>
  <si>
    <t>Putin</t>
  </si>
  <si>
    <t>Boris</t>
  </si>
  <si>
    <t>Kofi</t>
  </si>
  <si>
    <t>Strauss</t>
  </si>
  <si>
    <t>Thorpe</t>
  </si>
  <si>
    <t>Jacques</t>
  </si>
  <si>
    <t>Haile</t>
  </si>
  <si>
    <t>Xiaoping</t>
  </si>
  <si>
    <t>In a test, students can receive either of the following grades:</t>
  </si>
  <si>
    <t>Grading Criteria:</t>
  </si>
  <si>
    <t>Fill the area in yellow color in the "Assignment 8 - Grade Sheet" using above information.</t>
  </si>
  <si>
    <t>- Scores more than 1.50 standard deviations and below the mean, receive F's</t>
  </si>
  <si>
    <t>- Scores more than 1.00 standard deviation and below the mean, but less than or equal to 1.5 standard deviations and</t>
  </si>
  <si>
    <t>below the mean, receive D's</t>
  </si>
  <si>
    <t>- Scores less than 0.5 standard deviations and above the mean, and less than or equal to 1.00 standard deviations</t>
  </si>
  <si>
    <t xml:space="preserve"> and below the mean receive, C's</t>
  </si>
  <si>
    <t xml:space="preserve">- Scores less than 1.25 standard deviations and above the mean, and greater than or equal to 0.5 standard deviations </t>
  </si>
  <si>
    <t>and above the mean, receive B's</t>
  </si>
  <si>
    <t>Scores greater than or equal to 1.25 standard deviations and above the mean receive, A's</t>
  </si>
  <si>
    <t>Mention the formula of ‘Std Devs from Mean’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</si>
</sst>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quotePrefix="1" applyFill="1"/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0" applyFont="1" applyBorder="1" applyAlignment="1">
      <alignment wrapText="1"/>
    </xf>
    <xf numFmtId="9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Fill="1" applyBorder="1" applyAlignment="1"/>
    <xf numFmtId="0" fontId="5" fillId="0" borderId="0" xfId="0" applyFont="1"/>
    <xf numFmtId="164" fontId="0" fillId="3" borderId="9" xfId="0" applyNumberFormat="1" applyFill="1" applyBorder="1" applyAlignment="1">
      <alignment horizontal="right"/>
    </xf>
    <xf numFmtId="0" fontId="0" fillId="3" borderId="11" xfId="0" applyFill="1" applyBorder="1"/>
    <xf numFmtId="165" fontId="0" fillId="3" borderId="14" xfId="0" applyNumberFormat="1" applyFill="1" applyBorder="1"/>
    <xf numFmtId="164" fontId="0" fillId="3" borderId="2" xfId="0" applyNumberFormat="1" applyFill="1" applyBorder="1"/>
    <xf numFmtId="2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0" fillId="0" borderId="5" xfId="0" quotePrefix="1" applyFill="1" applyBorder="1" applyAlignment="1">
      <alignment horizontal="center"/>
    </xf>
    <xf numFmtId="0" fontId="0" fillId="0" borderId="7" xfId="0" applyFill="1" applyBorder="1"/>
    <xf numFmtId="0" fontId="0" fillId="0" borderId="7" xfId="0" applyFill="1" applyBorder="1" applyAlignment="1">
      <alignment horizontal="center"/>
    </xf>
    <xf numFmtId="0" fontId="4" fillId="2" borderId="0" xfId="0" applyFont="1" applyFill="1" applyBorder="1" applyAlignment="1">
      <alignment vertical="center" wrapText="1"/>
    </xf>
    <xf numFmtId="0" fontId="0" fillId="0" borderId="0" xfId="0" applyFont="1" applyAlignment="1">
      <alignment horizontal="left"/>
    </xf>
    <xf numFmtId="2" fontId="0" fillId="0" borderId="10" xfId="0" quotePrefix="1" applyNumberFormat="1" applyFill="1" applyBorder="1"/>
    <xf numFmtId="2" fontId="0" fillId="0" borderId="4" xfId="0" quotePrefix="1" applyNumberFormat="1" applyFill="1" applyBorder="1"/>
    <xf numFmtId="2" fontId="0" fillId="0" borderId="6" xfId="0" quotePrefix="1" applyNumberFormat="1" applyFill="1" applyBorder="1"/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 applyAlignment="1">
      <alignment horizontal="lef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65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3</xdr:col>
      <xdr:colOff>581025</xdr:colOff>
      <xdr:row>25</xdr:row>
      <xdr:rowOff>133350</xdr:rowOff>
    </xdr:to>
    <xdr:pic>
      <xdr:nvPicPr>
        <xdr:cNvPr id="2" name="Picture 1" descr="square root of [ (1/N) times Sigma i=1 to N of (xi - mu)^2 ]">
          <a:extLst>
            <a:ext uri="{FF2B5EF4-FFF2-40B4-BE49-F238E27FC236}">
              <a16:creationId xmlns="" xmlns:a16="http://schemas.microsoft.com/office/drawing/2014/main" id="{C41D07C5-DB0F-4E6B-9BC7-672CF8FA042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648075"/>
          <a:ext cx="18002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showGridLines="0" topLeftCell="A9" zoomScaleNormal="100" workbookViewId="0">
      <selection activeCell="H31" sqref="H31"/>
    </sheetView>
  </sheetViews>
  <sheetFormatPr defaultRowHeight="12.5" x14ac:dyDescent="0.25"/>
  <cols>
    <col min="1" max="1" width="2.453125" customWidth="1"/>
    <col min="15" max="15" width="27.26953125" customWidth="1"/>
  </cols>
  <sheetData>
    <row r="1" spans="1:12" ht="13" x14ac:dyDescent="0.3">
      <c r="A1" s="18"/>
    </row>
    <row r="2" spans="1:12" ht="13" x14ac:dyDescent="0.3">
      <c r="A2" s="21"/>
      <c r="B2" s="18" t="s">
        <v>81</v>
      </c>
    </row>
    <row r="3" spans="1:12" x14ac:dyDescent="0.25">
      <c r="A3" s="21"/>
      <c r="B3" t="s">
        <v>32</v>
      </c>
    </row>
    <row r="4" spans="1:12" x14ac:dyDescent="0.25">
      <c r="A4" s="21"/>
      <c r="B4" t="s">
        <v>33</v>
      </c>
    </row>
    <row r="5" spans="1:12" x14ac:dyDescent="0.25">
      <c r="A5" s="21"/>
      <c r="B5" t="s">
        <v>34</v>
      </c>
    </row>
    <row r="6" spans="1:12" x14ac:dyDescent="0.25">
      <c r="A6" s="21"/>
      <c r="B6" t="s">
        <v>35</v>
      </c>
    </row>
    <row r="7" spans="1:12" x14ac:dyDescent="0.25">
      <c r="A7" s="21"/>
      <c r="B7" t="s">
        <v>36</v>
      </c>
    </row>
    <row r="8" spans="1:12" x14ac:dyDescent="0.25">
      <c r="A8" s="21"/>
    </row>
    <row r="9" spans="1:12" ht="13" x14ac:dyDescent="0.3">
      <c r="A9" s="20"/>
      <c r="B9" s="19" t="s">
        <v>82</v>
      </c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x14ac:dyDescent="0.25">
      <c r="B10" s="6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 ht="14.5" x14ac:dyDescent="0.35">
      <c r="B11" s="40" t="s">
        <v>50</v>
      </c>
      <c r="C11" s="41"/>
      <c r="D11" s="41"/>
      <c r="E11" s="41"/>
      <c r="F11" s="41"/>
      <c r="G11" s="41"/>
      <c r="H11" s="41"/>
      <c r="I11" s="41"/>
      <c r="J11" s="41"/>
      <c r="K11" s="41"/>
    </row>
    <row r="12" spans="1:12" ht="14.5" x14ac:dyDescent="0.35">
      <c r="B12" s="43" t="s">
        <v>84</v>
      </c>
      <c r="C12" s="43"/>
      <c r="D12" s="43"/>
      <c r="E12" s="43"/>
      <c r="F12" s="41"/>
      <c r="G12" s="41"/>
      <c r="H12" s="41"/>
      <c r="I12" s="41"/>
      <c r="J12" s="41"/>
      <c r="K12" s="41"/>
    </row>
    <row r="13" spans="1:12" x14ac:dyDescent="0.25">
      <c r="B13" s="43" t="s">
        <v>85</v>
      </c>
      <c r="C13" s="43"/>
      <c r="D13" s="43"/>
      <c r="E13" s="43"/>
      <c r="F13" s="43"/>
      <c r="G13" s="43"/>
      <c r="H13" s="43"/>
      <c r="I13" s="43"/>
      <c r="J13" s="43"/>
      <c r="K13" s="43"/>
    </row>
    <row r="14" spans="1:12" x14ac:dyDescent="0.25">
      <c r="B14" s="43" t="s">
        <v>86</v>
      </c>
      <c r="C14" s="43"/>
      <c r="D14" s="43"/>
      <c r="E14" s="43"/>
      <c r="F14" s="43"/>
      <c r="G14" s="43"/>
      <c r="H14" s="43"/>
      <c r="I14" s="43"/>
      <c r="J14" s="43"/>
      <c r="K14" s="43"/>
    </row>
    <row r="15" spans="1:12" x14ac:dyDescent="0.25">
      <c r="B15" s="43" t="s">
        <v>87</v>
      </c>
      <c r="C15" s="43"/>
      <c r="D15" s="43"/>
      <c r="E15" s="43"/>
      <c r="F15" s="43"/>
      <c r="G15" s="43"/>
      <c r="H15" s="43"/>
      <c r="I15" s="43"/>
      <c r="J15" s="43"/>
      <c r="K15" s="43"/>
    </row>
    <row r="16" spans="1:12" x14ac:dyDescent="0.25">
      <c r="B16" s="43" t="s">
        <v>88</v>
      </c>
      <c r="C16" s="43"/>
      <c r="D16" s="43"/>
      <c r="E16" s="43"/>
      <c r="F16" s="43"/>
      <c r="G16" s="43"/>
      <c r="H16" s="43"/>
      <c r="I16" s="43"/>
      <c r="J16" s="43"/>
      <c r="K16" s="43"/>
    </row>
    <row r="17" spans="2:11" x14ac:dyDescent="0.25">
      <c r="B17" s="43" t="s">
        <v>89</v>
      </c>
      <c r="C17" s="43"/>
      <c r="D17" s="43"/>
      <c r="E17" s="43"/>
      <c r="F17" s="43"/>
      <c r="G17" s="43"/>
      <c r="H17" s="43"/>
      <c r="I17" s="43"/>
      <c r="J17" s="43"/>
      <c r="K17" s="43"/>
    </row>
    <row r="18" spans="2:11" x14ac:dyDescent="0.25">
      <c r="B18" s="43" t="s">
        <v>90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2:11" x14ac:dyDescent="0.25">
      <c r="B19" s="40" t="s">
        <v>91</v>
      </c>
    </row>
    <row r="20" spans="2:11" x14ac:dyDescent="0.25">
      <c r="B20" s="40"/>
    </row>
    <row r="21" spans="2:11" ht="14.5" x14ac:dyDescent="0.25">
      <c r="B21" s="42" t="s">
        <v>92</v>
      </c>
    </row>
    <row r="28" spans="2:11" x14ac:dyDescent="0.25">
      <c r="B28" s="36" t="s">
        <v>83</v>
      </c>
    </row>
  </sheetData>
  <mergeCells count="8">
    <mergeCell ref="B16:K16"/>
    <mergeCell ref="B17:K17"/>
    <mergeCell ref="B18:K18"/>
    <mergeCell ref="C10:L10"/>
    <mergeCell ref="B12:E12"/>
    <mergeCell ref="B13:K13"/>
    <mergeCell ref="B14:K14"/>
    <mergeCell ref="B15:K15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showGridLines="0" tabSelected="1" topLeftCell="A13" zoomScaleNormal="100" workbookViewId="0">
      <selection activeCell="L20" sqref="L20"/>
    </sheetView>
  </sheetViews>
  <sheetFormatPr defaultRowHeight="12.5" x14ac:dyDescent="0.25"/>
  <cols>
    <col min="1" max="1" width="8.1796875" style="2" customWidth="1"/>
    <col min="2" max="2" width="13.54296875" customWidth="1"/>
    <col min="3" max="3" width="13" customWidth="1"/>
    <col min="4" max="4" width="10.81640625" style="2" bestFit="1" customWidth="1"/>
    <col min="5" max="5" width="10.54296875" style="1" customWidth="1"/>
    <col min="6" max="6" width="11.81640625" customWidth="1"/>
    <col min="9" max="9" width="9.453125" customWidth="1"/>
    <col min="11" max="11" width="10.81640625" customWidth="1"/>
    <col min="12" max="12" width="18.81640625" bestFit="1" customWidth="1"/>
  </cols>
  <sheetData>
    <row r="1" spans="1:11" ht="12.7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3.5" customHeight="1" thickBot="1" x14ac:dyDescent="0.35">
      <c r="A2" s="6"/>
      <c r="F2" s="15"/>
    </row>
    <row r="3" spans="1:11" ht="13.5" thickBot="1" x14ac:dyDescent="0.35">
      <c r="A3" s="61" t="s">
        <v>30</v>
      </c>
      <c r="B3" s="63" t="s">
        <v>0</v>
      </c>
      <c r="C3" s="63" t="s">
        <v>1</v>
      </c>
      <c r="D3" s="63" t="s">
        <v>2</v>
      </c>
      <c r="E3" s="59" t="s">
        <v>37</v>
      </c>
      <c r="F3" s="59" t="s">
        <v>49</v>
      </c>
      <c r="G3" s="48" t="s">
        <v>3</v>
      </c>
      <c r="I3" s="47" t="s">
        <v>44</v>
      </c>
      <c r="J3" s="47"/>
      <c r="K3" s="47"/>
    </row>
    <row r="4" spans="1:11" ht="13" thickBot="1" x14ac:dyDescent="0.3">
      <c r="A4" s="62"/>
      <c r="B4" s="64"/>
      <c r="C4" s="64"/>
      <c r="D4" s="64"/>
      <c r="E4" s="60"/>
      <c r="F4" s="60"/>
      <c r="G4" s="49"/>
      <c r="I4" s="50" t="s">
        <v>31</v>
      </c>
      <c r="J4" s="53" t="s">
        <v>3</v>
      </c>
      <c r="K4" s="56" t="s">
        <v>43</v>
      </c>
    </row>
    <row r="5" spans="1:11" ht="13" thickBot="1" x14ac:dyDescent="0.3">
      <c r="A5" s="3">
        <v>1</v>
      </c>
      <c r="B5" s="28" t="s">
        <v>51</v>
      </c>
      <c r="C5" s="28" t="s">
        <v>9</v>
      </c>
      <c r="D5" s="29">
        <v>84</v>
      </c>
      <c r="E5" s="25">
        <f>D5 - $D$35</f>
        <v>6.5333333333333314</v>
      </c>
      <c r="F5" s="26">
        <f>E5 / $D$36</f>
        <v>0.50172195195709657</v>
      </c>
      <c r="G5" s="27" t="str">
        <f>IF(F5&gt;=1.25,"A",IF(F5&gt;=0.5,"B",IF(F5&gt;=-1,"C",IF(F5&gt;=-1.5,"D","F"))))</f>
        <v>B</v>
      </c>
      <c r="I5" s="51"/>
      <c r="J5" s="54"/>
      <c r="K5" s="57"/>
    </row>
    <row r="6" spans="1:11" ht="12.75" customHeight="1" thickBot="1" x14ac:dyDescent="0.3">
      <c r="A6" s="4">
        <v>2</v>
      </c>
      <c r="B6" s="30" t="s">
        <v>52</v>
      </c>
      <c r="C6" s="30" t="s">
        <v>53</v>
      </c>
      <c r="D6" s="31">
        <v>68</v>
      </c>
      <c r="E6" s="25">
        <f t="shared" ref="E6:E34" si="0">D6 - $D$35</f>
        <v>-9.4666666666666686</v>
      </c>
      <c r="F6" s="26">
        <f t="shared" ref="F6:F34" si="1">E6 / $D$36</f>
        <v>-0.72698486916232397</v>
      </c>
      <c r="G6" s="27" t="str">
        <f t="shared" ref="G6:G34" si="2">IF(F6&gt;=1.25,"A",IF(F6&gt;=0.5,"B",IF(F6&gt;=-1,"C",IF(F6&gt;=-1.5,"D","F"))))</f>
        <v>C</v>
      </c>
      <c r="I6" s="51"/>
      <c r="J6" s="54"/>
      <c r="K6" s="57"/>
    </row>
    <row r="7" spans="1:11" ht="13" thickBot="1" x14ac:dyDescent="0.3">
      <c r="A7" s="4">
        <v>3</v>
      </c>
      <c r="B7" s="30" t="s">
        <v>54</v>
      </c>
      <c r="C7" s="30" t="s">
        <v>13</v>
      </c>
      <c r="D7" s="31">
        <v>65</v>
      </c>
      <c r="E7" s="25">
        <f t="shared" si="0"/>
        <v>-12.466666666666669</v>
      </c>
      <c r="F7" s="26">
        <f t="shared" si="1"/>
        <v>-0.95736739812221539</v>
      </c>
      <c r="G7" s="27" t="str">
        <f t="shared" si="2"/>
        <v>C</v>
      </c>
      <c r="I7" s="52"/>
      <c r="J7" s="55"/>
      <c r="K7" s="58"/>
    </row>
    <row r="8" spans="1:11" ht="13" thickBot="1" x14ac:dyDescent="0.3">
      <c r="A8" s="4">
        <v>4</v>
      </c>
      <c r="B8" s="30" t="s">
        <v>6</v>
      </c>
      <c r="C8" s="30" t="s">
        <v>55</v>
      </c>
      <c r="D8" s="31">
        <v>90</v>
      </c>
      <c r="E8" s="25">
        <f t="shared" si="0"/>
        <v>12.533333333333331</v>
      </c>
      <c r="F8" s="26">
        <f t="shared" si="1"/>
        <v>0.9624870098768793</v>
      </c>
      <c r="G8" s="27" t="str">
        <f t="shared" si="2"/>
        <v>B</v>
      </c>
      <c r="I8" s="37">
        <f>-D35/D36</f>
        <v>-5.9489888589198614</v>
      </c>
      <c r="J8" s="16" t="s">
        <v>36</v>
      </c>
      <c r="K8" s="22">
        <f>$D$35 + (I8 * $D$36)</f>
        <v>0</v>
      </c>
    </row>
    <row r="9" spans="1:11" ht="13" thickBot="1" x14ac:dyDescent="0.3">
      <c r="A9" s="4">
        <v>5</v>
      </c>
      <c r="B9" s="30" t="s">
        <v>56</v>
      </c>
      <c r="C9" s="30" t="s">
        <v>38</v>
      </c>
      <c r="D9" s="31">
        <v>43</v>
      </c>
      <c r="E9" s="25">
        <f t="shared" si="0"/>
        <v>-34.466666666666669</v>
      </c>
      <c r="F9" s="26">
        <f t="shared" si="1"/>
        <v>-2.6468392771614186</v>
      </c>
      <c r="G9" s="27" t="str">
        <f t="shared" si="2"/>
        <v>F</v>
      </c>
      <c r="I9" s="37">
        <v>-1.5</v>
      </c>
      <c r="J9" s="9" t="s">
        <v>35</v>
      </c>
      <c r="K9" s="22">
        <f t="shared" ref="K9:K12" si="3">$D$35 + (I9 * $D$36)</f>
        <v>57.933935515931573</v>
      </c>
    </row>
    <row r="10" spans="1:11" ht="13" thickBot="1" x14ac:dyDescent="0.3">
      <c r="A10" s="4">
        <v>6</v>
      </c>
      <c r="B10" s="30" t="s">
        <v>57</v>
      </c>
      <c r="C10" s="30" t="s">
        <v>58</v>
      </c>
      <c r="D10" s="31">
        <v>93</v>
      </c>
      <c r="E10" s="25">
        <f t="shared" si="0"/>
        <v>15.533333333333331</v>
      </c>
      <c r="F10" s="26">
        <f t="shared" si="1"/>
        <v>1.1928695388367707</v>
      </c>
      <c r="G10" s="27" t="str">
        <f t="shared" si="2"/>
        <v>B</v>
      </c>
      <c r="I10" s="38">
        <v>-1</v>
      </c>
      <c r="J10" s="9" t="s">
        <v>34</v>
      </c>
      <c r="K10" s="22">
        <f t="shared" si="3"/>
        <v>64.444845899509943</v>
      </c>
    </row>
    <row r="11" spans="1:11" ht="13" thickBot="1" x14ac:dyDescent="0.3">
      <c r="A11" s="4">
        <v>7</v>
      </c>
      <c r="B11" s="30" t="s">
        <v>12</v>
      </c>
      <c r="C11" s="30" t="s">
        <v>59</v>
      </c>
      <c r="D11" s="31">
        <v>76</v>
      </c>
      <c r="E11" s="25">
        <f t="shared" si="0"/>
        <v>-1.4666666666666686</v>
      </c>
      <c r="F11" s="26">
        <f t="shared" si="1"/>
        <v>-0.1126314586026137</v>
      </c>
      <c r="G11" s="27" t="str">
        <f t="shared" si="2"/>
        <v>C</v>
      </c>
      <c r="I11" s="38">
        <v>0.5</v>
      </c>
      <c r="J11" s="9" t="s">
        <v>33</v>
      </c>
      <c r="K11" s="22">
        <f t="shared" si="3"/>
        <v>83.977577050245031</v>
      </c>
    </row>
    <row r="12" spans="1:11" ht="13" thickBot="1" x14ac:dyDescent="0.3">
      <c r="A12" s="4">
        <v>8</v>
      </c>
      <c r="B12" s="30" t="s">
        <v>60</v>
      </c>
      <c r="C12" s="30" t="s">
        <v>61</v>
      </c>
      <c r="D12" s="31">
        <v>80</v>
      </c>
      <c r="E12" s="25">
        <f t="shared" si="0"/>
        <v>2.5333333333333314</v>
      </c>
      <c r="F12" s="26">
        <f t="shared" si="1"/>
        <v>0.19454524667724146</v>
      </c>
      <c r="G12" s="27" t="str">
        <f t="shared" si="2"/>
        <v>C</v>
      </c>
      <c r="I12" s="39">
        <v>1.25</v>
      </c>
      <c r="J12" s="10" t="s">
        <v>32</v>
      </c>
      <c r="K12" s="22">
        <f t="shared" si="3"/>
        <v>93.743942625612576</v>
      </c>
    </row>
    <row r="13" spans="1:11" ht="13" thickBot="1" x14ac:dyDescent="0.3">
      <c r="A13" s="4">
        <v>9</v>
      </c>
      <c r="B13" s="30" t="s">
        <v>62</v>
      </c>
      <c r="C13" s="30" t="s">
        <v>19</v>
      </c>
      <c r="D13" s="31">
        <v>93</v>
      </c>
      <c r="E13" s="25">
        <f t="shared" si="0"/>
        <v>15.533333333333331</v>
      </c>
      <c r="F13" s="26">
        <f t="shared" si="1"/>
        <v>1.1928695388367707</v>
      </c>
      <c r="G13" s="27" t="str">
        <f t="shared" si="2"/>
        <v>B</v>
      </c>
    </row>
    <row r="14" spans="1:11" ht="13.5" thickBot="1" x14ac:dyDescent="0.35">
      <c r="A14" s="4">
        <v>10</v>
      </c>
      <c r="B14" s="30" t="s">
        <v>15</v>
      </c>
      <c r="C14" s="30" t="s">
        <v>4</v>
      </c>
      <c r="D14" s="31">
        <v>78</v>
      </c>
      <c r="E14" s="25">
        <f t="shared" si="0"/>
        <v>0.53333333333333144</v>
      </c>
      <c r="F14" s="26">
        <f t="shared" si="1"/>
        <v>4.0956894037313875E-2</v>
      </c>
      <c r="G14" s="27" t="str">
        <f t="shared" si="2"/>
        <v>C</v>
      </c>
      <c r="I14" s="47" t="s">
        <v>48</v>
      </c>
      <c r="J14" s="47"/>
      <c r="K14" s="47"/>
    </row>
    <row r="15" spans="1:11" ht="13" thickBot="1" x14ac:dyDescent="0.3">
      <c r="A15" s="4">
        <v>11</v>
      </c>
      <c r="B15" s="30" t="s">
        <v>63</v>
      </c>
      <c r="C15" s="30" t="s">
        <v>41</v>
      </c>
      <c r="D15" s="31">
        <v>85</v>
      </c>
      <c r="E15" s="25">
        <f t="shared" si="0"/>
        <v>7.5333333333333314</v>
      </c>
      <c r="F15" s="26">
        <f t="shared" si="1"/>
        <v>0.57851612827706045</v>
      </c>
      <c r="G15" s="27" t="str">
        <f t="shared" si="2"/>
        <v>B</v>
      </c>
      <c r="I15" s="12" t="s">
        <v>3</v>
      </c>
      <c r="J15" s="13" t="s">
        <v>45</v>
      </c>
      <c r="K15" s="14" t="s">
        <v>46</v>
      </c>
    </row>
    <row r="16" spans="1:11" ht="13" thickBot="1" x14ac:dyDescent="0.3">
      <c r="A16" s="4">
        <v>12</v>
      </c>
      <c r="B16" s="30" t="s">
        <v>8</v>
      </c>
      <c r="C16" s="30" t="s">
        <v>64</v>
      </c>
      <c r="D16" s="31">
        <v>67</v>
      </c>
      <c r="E16" s="25">
        <f t="shared" si="0"/>
        <v>-10.466666666666669</v>
      </c>
      <c r="F16" s="26">
        <f t="shared" si="1"/>
        <v>-0.80377904548228785</v>
      </c>
      <c r="G16" s="27" t="str">
        <f t="shared" si="2"/>
        <v>C</v>
      </c>
      <c r="I16" s="11" t="s">
        <v>36</v>
      </c>
      <c r="J16" s="23">
        <f>COUNTIF(G5:G34,"F")</f>
        <v>1</v>
      </c>
      <c r="K16" s="67">
        <f>J16/COUNTA(G5:G34)</f>
        <v>3.3333333333333333E-2</v>
      </c>
    </row>
    <row r="17" spans="1:11" ht="13" thickBot="1" x14ac:dyDescent="0.3">
      <c r="A17" s="4">
        <v>13</v>
      </c>
      <c r="B17" s="30" t="s">
        <v>20</v>
      </c>
      <c r="C17" s="30" t="s">
        <v>18</v>
      </c>
      <c r="D17" s="31">
        <v>78</v>
      </c>
      <c r="E17" s="25">
        <f t="shared" si="0"/>
        <v>0.53333333333333144</v>
      </c>
      <c r="F17" s="26">
        <f t="shared" si="1"/>
        <v>4.0956894037313875E-2</v>
      </c>
      <c r="G17" s="27" t="str">
        <f t="shared" si="2"/>
        <v>C</v>
      </c>
      <c r="I17" s="4" t="s">
        <v>35</v>
      </c>
      <c r="J17" s="23">
        <f>COUNTIF(G6:G35,"D")</f>
        <v>4</v>
      </c>
      <c r="K17" s="67">
        <f t="shared" ref="K17:K20" si="4">J17/COUNTA(G6:G35)</f>
        <v>0.13793103448275862</v>
      </c>
    </row>
    <row r="18" spans="1:11" ht="13" thickBot="1" x14ac:dyDescent="0.3">
      <c r="A18" s="4">
        <v>14</v>
      </c>
      <c r="B18" s="30" t="s">
        <v>65</v>
      </c>
      <c r="C18" s="30" t="s">
        <v>66</v>
      </c>
      <c r="D18" s="31">
        <v>59</v>
      </c>
      <c r="E18" s="25">
        <f t="shared" si="0"/>
        <v>-18.466666666666669</v>
      </c>
      <c r="F18" s="26">
        <f t="shared" si="1"/>
        <v>-1.4181324560419981</v>
      </c>
      <c r="G18" s="27" t="str">
        <f t="shared" si="2"/>
        <v>D</v>
      </c>
      <c r="I18" s="4" t="s">
        <v>34</v>
      </c>
      <c r="J18" s="23">
        <f>COUNTIF(G7:G36,"C")</f>
        <v>14</v>
      </c>
      <c r="K18" s="67">
        <f t="shared" si="4"/>
        <v>0.5</v>
      </c>
    </row>
    <row r="19" spans="1:11" ht="13" thickBot="1" x14ac:dyDescent="0.3">
      <c r="A19" s="4">
        <v>15</v>
      </c>
      <c r="B19" s="30" t="s">
        <v>67</v>
      </c>
      <c r="C19" s="30" t="s">
        <v>39</v>
      </c>
      <c r="D19" s="31">
        <v>83</v>
      </c>
      <c r="E19" s="25">
        <f t="shared" si="0"/>
        <v>5.5333333333333314</v>
      </c>
      <c r="F19" s="26">
        <f t="shared" si="1"/>
        <v>0.4249277756371328</v>
      </c>
      <c r="G19" s="27" t="str">
        <f t="shared" si="2"/>
        <v>C</v>
      </c>
      <c r="I19" s="4" t="s">
        <v>33</v>
      </c>
      <c r="J19" s="23">
        <f>COUNTIF(G8:G37,"B")</f>
        <v>6</v>
      </c>
      <c r="K19" s="67">
        <f t="shared" si="4"/>
        <v>0.22222222222222221</v>
      </c>
    </row>
    <row r="20" spans="1:11" ht="13" thickBot="1" x14ac:dyDescent="0.3">
      <c r="A20" s="4">
        <v>16</v>
      </c>
      <c r="B20" s="30" t="s">
        <v>68</v>
      </c>
      <c r="C20" s="30" t="s">
        <v>69</v>
      </c>
      <c r="D20" s="31">
        <v>75</v>
      </c>
      <c r="E20" s="25">
        <f t="shared" si="0"/>
        <v>-2.4666666666666686</v>
      </c>
      <c r="F20" s="26">
        <f t="shared" si="1"/>
        <v>-0.1894256349225775</v>
      </c>
      <c r="G20" s="27" t="str">
        <f t="shared" si="2"/>
        <v>C</v>
      </c>
      <c r="I20" s="5" t="s">
        <v>32</v>
      </c>
      <c r="J20" s="23">
        <f>COUNTIF(G9:G38,"A")</f>
        <v>3</v>
      </c>
      <c r="K20" s="67">
        <f t="shared" si="4"/>
        <v>0.11538461538461539</v>
      </c>
    </row>
    <row r="21" spans="1:11" ht="13" thickBot="1" x14ac:dyDescent="0.3">
      <c r="A21" s="4">
        <v>17</v>
      </c>
      <c r="B21" s="30" t="s">
        <v>17</v>
      </c>
      <c r="C21" s="30" t="s">
        <v>28</v>
      </c>
      <c r="D21" s="31">
        <v>83</v>
      </c>
      <c r="E21" s="25">
        <f t="shared" si="0"/>
        <v>5.5333333333333314</v>
      </c>
      <c r="F21" s="26">
        <f t="shared" si="1"/>
        <v>0.4249277756371328</v>
      </c>
      <c r="G21" s="27" t="str">
        <f t="shared" si="2"/>
        <v>C</v>
      </c>
      <c r="J21" s="12" t="s">
        <v>47</v>
      </c>
      <c r="K21" s="24">
        <f>SUM(K16:K20)</f>
        <v>1.0088712054229294</v>
      </c>
    </row>
    <row r="22" spans="1:11" ht="13" thickBot="1" x14ac:dyDescent="0.3">
      <c r="A22" s="4">
        <v>18</v>
      </c>
      <c r="B22" s="30" t="s">
        <v>4</v>
      </c>
      <c r="C22" s="30" t="s">
        <v>70</v>
      </c>
      <c r="D22" s="32">
        <v>73</v>
      </c>
      <c r="E22" s="25">
        <f t="shared" si="0"/>
        <v>-4.4666666666666686</v>
      </c>
      <c r="F22" s="26">
        <f t="shared" si="1"/>
        <v>-0.34301398756250506</v>
      </c>
      <c r="G22" s="27" t="str">
        <f t="shared" si="2"/>
        <v>C</v>
      </c>
    </row>
    <row r="23" spans="1:11" ht="13" thickBot="1" x14ac:dyDescent="0.3">
      <c r="A23" s="4">
        <v>19</v>
      </c>
      <c r="B23" s="30" t="s">
        <v>71</v>
      </c>
      <c r="C23" s="30" t="s">
        <v>24</v>
      </c>
      <c r="D23" s="31">
        <v>98</v>
      </c>
      <c r="E23" s="25">
        <f t="shared" si="0"/>
        <v>20.533333333333331</v>
      </c>
      <c r="F23" s="26">
        <f t="shared" si="1"/>
        <v>1.5768404204365896</v>
      </c>
      <c r="G23" s="27" t="str">
        <f t="shared" si="2"/>
        <v>A</v>
      </c>
    </row>
    <row r="24" spans="1:11" ht="13" thickBot="1" x14ac:dyDescent="0.3">
      <c r="A24" s="4">
        <v>20</v>
      </c>
      <c r="B24" s="30" t="s">
        <v>26</v>
      </c>
      <c r="C24" s="30" t="s">
        <v>72</v>
      </c>
      <c r="D24" s="31">
        <v>88</v>
      </c>
      <c r="E24" s="25">
        <f t="shared" si="0"/>
        <v>10.533333333333331</v>
      </c>
      <c r="F24" s="26">
        <f t="shared" si="1"/>
        <v>0.80889865723695176</v>
      </c>
      <c r="G24" s="27" t="str">
        <f t="shared" si="2"/>
        <v>B</v>
      </c>
    </row>
    <row r="25" spans="1:11" ht="13" thickBot="1" x14ac:dyDescent="0.3">
      <c r="A25" s="4">
        <v>21</v>
      </c>
      <c r="B25" s="30" t="s">
        <v>73</v>
      </c>
      <c r="C25" s="30" t="s">
        <v>5</v>
      </c>
      <c r="D25" s="31">
        <v>90</v>
      </c>
      <c r="E25" s="25">
        <f t="shared" si="0"/>
        <v>12.533333333333331</v>
      </c>
      <c r="F25" s="26">
        <f t="shared" si="1"/>
        <v>0.9624870098768793</v>
      </c>
      <c r="G25" s="27" t="str">
        <f t="shared" si="2"/>
        <v>B</v>
      </c>
    </row>
    <row r="26" spans="1:11" ht="13" thickBot="1" x14ac:dyDescent="0.3">
      <c r="A26" s="4">
        <v>22</v>
      </c>
      <c r="B26" s="30" t="s">
        <v>10</v>
      </c>
      <c r="C26" s="30" t="s">
        <v>74</v>
      </c>
      <c r="D26" s="31">
        <v>63</v>
      </c>
      <c r="E26" s="25">
        <f t="shared" si="0"/>
        <v>-14.466666666666669</v>
      </c>
      <c r="F26" s="26">
        <f t="shared" si="1"/>
        <v>-1.110955750762143</v>
      </c>
      <c r="G26" s="27" t="str">
        <f t="shared" si="2"/>
        <v>D</v>
      </c>
    </row>
    <row r="27" spans="1:11" ht="13" thickBot="1" x14ac:dyDescent="0.3">
      <c r="A27" s="4">
        <v>23</v>
      </c>
      <c r="B27" s="30" t="s">
        <v>14</v>
      </c>
      <c r="C27" s="30" t="s">
        <v>11</v>
      </c>
      <c r="D27" s="32">
        <v>60</v>
      </c>
      <c r="E27" s="25">
        <f t="shared" si="0"/>
        <v>-17.466666666666669</v>
      </c>
      <c r="F27" s="26">
        <f t="shared" si="1"/>
        <v>-1.3413382797220343</v>
      </c>
      <c r="G27" s="27" t="str">
        <f t="shared" si="2"/>
        <v>D</v>
      </c>
    </row>
    <row r="28" spans="1:11" ht="13" thickBot="1" x14ac:dyDescent="0.3">
      <c r="A28" s="4">
        <v>24</v>
      </c>
      <c r="B28" s="30" t="s">
        <v>16</v>
      </c>
      <c r="C28" s="30" t="s">
        <v>75</v>
      </c>
      <c r="D28" s="32">
        <v>82</v>
      </c>
      <c r="E28" s="25">
        <f t="shared" si="0"/>
        <v>4.5333333333333314</v>
      </c>
      <c r="F28" s="26">
        <f t="shared" si="1"/>
        <v>0.34813359931716903</v>
      </c>
      <c r="G28" s="27" t="str">
        <f t="shared" si="2"/>
        <v>C</v>
      </c>
    </row>
    <row r="29" spans="1:11" ht="13" thickBot="1" x14ac:dyDescent="0.3">
      <c r="A29" s="4">
        <v>25</v>
      </c>
      <c r="B29" s="30" t="s">
        <v>76</v>
      </c>
      <c r="C29" s="30" t="s">
        <v>23</v>
      </c>
      <c r="D29" s="31">
        <v>96</v>
      </c>
      <c r="E29" s="25">
        <f t="shared" si="0"/>
        <v>18.533333333333331</v>
      </c>
      <c r="F29" s="26">
        <f t="shared" si="1"/>
        <v>1.423252067796662</v>
      </c>
      <c r="G29" s="27" t="str">
        <f t="shared" si="2"/>
        <v>A</v>
      </c>
    </row>
    <row r="30" spans="1:11" ht="13" thickBot="1" x14ac:dyDescent="0.3">
      <c r="A30" s="4">
        <v>26</v>
      </c>
      <c r="B30" s="30" t="s">
        <v>77</v>
      </c>
      <c r="C30" s="30" t="s">
        <v>7</v>
      </c>
      <c r="D30" s="31">
        <v>70</v>
      </c>
      <c r="E30" s="25">
        <f t="shared" si="0"/>
        <v>-7.4666666666666686</v>
      </c>
      <c r="F30" s="26">
        <f t="shared" si="1"/>
        <v>-0.57339651652239643</v>
      </c>
      <c r="G30" s="27" t="str">
        <f t="shared" si="2"/>
        <v>C</v>
      </c>
    </row>
    <row r="31" spans="1:11" ht="13" thickBot="1" x14ac:dyDescent="0.3">
      <c r="A31" s="4">
        <v>27</v>
      </c>
      <c r="B31" s="30" t="s">
        <v>25</v>
      </c>
      <c r="C31" s="30" t="s">
        <v>27</v>
      </c>
      <c r="D31" s="31">
        <v>94</v>
      </c>
      <c r="E31" s="25">
        <f t="shared" si="0"/>
        <v>16.533333333333331</v>
      </c>
      <c r="F31" s="26">
        <f t="shared" si="1"/>
        <v>1.2696637151567345</v>
      </c>
      <c r="G31" s="27" t="str">
        <f t="shared" si="2"/>
        <v>A</v>
      </c>
    </row>
    <row r="32" spans="1:11" ht="13" thickBot="1" x14ac:dyDescent="0.3">
      <c r="A32" s="4">
        <v>28</v>
      </c>
      <c r="B32" s="30" t="s">
        <v>22</v>
      </c>
      <c r="C32" s="30" t="s">
        <v>78</v>
      </c>
      <c r="D32" s="31">
        <v>79</v>
      </c>
      <c r="E32" s="25">
        <f t="shared" si="0"/>
        <v>1.5333333333333314</v>
      </c>
      <c r="F32" s="26">
        <f t="shared" si="1"/>
        <v>0.11775107035727767</v>
      </c>
      <c r="G32" s="27" t="str">
        <f t="shared" si="2"/>
        <v>C</v>
      </c>
    </row>
    <row r="33" spans="1:7" ht="13" thickBot="1" x14ac:dyDescent="0.3">
      <c r="A33" s="4">
        <v>29</v>
      </c>
      <c r="B33" s="30" t="s">
        <v>40</v>
      </c>
      <c r="C33" s="30" t="s">
        <v>79</v>
      </c>
      <c r="D33" s="31">
        <v>68</v>
      </c>
      <c r="E33" s="25">
        <f t="shared" si="0"/>
        <v>-9.4666666666666686</v>
      </c>
      <c r="F33" s="26">
        <f t="shared" si="1"/>
        <v>-0.72698486916232397</v>
      </c>
      <c r="G33" s="27" t="str">
        <f t="shared" si="2"/>
        <v>C</v>
      </c>
    </row>
    <row r="34" spans="1:7" ht="13" thickBot="1" x14ac:dyDescent="0.3">
      <c r="A34" s="5">
        <v>30</v>
      </c>
      <c r="B34" s="33" t="s">
        <v>80</v>
      </c>
      <c r="C34" s="33" t="s">
        <v>21</v>
      </c>
      <c r="D34" s="34">
        <v>63</v>
      </c>
      <c r="E34" s="25">
        <f t="shared" si="0"/>
        <v>-14.466666666666669</v>
      </c>
      <c r="F34" s="26">
        <f t="shared" si="1"/>
        <v>-1.110955750762143</v>
      </c>
      <c r="G34" s="27" t="str">
        <f t="shared" si="2"/>
        <v>D</v>
      </c>
    </row>
    <row r="35" spans="1:7" x14ac:dyDescent="0.25">
      <c r="B35" s="65" t="s">
        <v>42</v>
      </c>
      <c r="C35" s="66"/>
      <c r="D35" s="7">
        <f>AVERAGE(D5:D34)</f>
        <v>77.466666666666669</v>
      </c>
    </row>
    <row r="36" spans="1:7" ht="13" thickBot="1" x14ac:dyDescent="0.3">
      <c r="B36" s="45" t="s">
        <v>29</v>
      </c>
      <c r="C36" s="46"/>
      <c r="D36" s="8">
        <f>STDEV(D5:D34)</f>
        <v>13.021820767156729</v>
      </c>
    </row>
    <row r="41" spans="1:7" x14ac:dyDescent="0.25">
      <c r="A41" s="17"/>
    </row>
    <row r="42" spans="1:7" x14ac:dyDescent="0.25">
      <c r="A42" s="17"/>
    </row>
  </sheetData>
  <mergeCells count="14">
    <mergeCell ref="A3:A4"/>
    <mergeCell ref="B3:B4"/>
    <mergeCell ref="C3:C4"/>
    <mergeCell ref="D3:D4"/>
    <mergeCell ref="B35:C35"/>
    <mergeCell ref="B36:C36"/>
    <mergeCell ref="I14:K14"/>
    <mergeCell ref="I3:K3"/>
    <mergeCell ref="G3:G4"/>
    <mergeCell ref="I4:I7"/>
    <mergeCell ref="J4:J7"/>
    <mergeCell ref="K4:K7"/>
    <mergeCell ref="E3:E4"/>
    <mergeCell ref="F3:F4"/>
  </mergeCells>
  <phoneticPr fontId="2" type="noConversion"/>
  <pageMargins left="0.75" right="0.75" top="1" bottom="1" header="0.5" footer="0.5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Assignment 8 - Grade Sheet</vt:lpstr>
      <vt:lpstr>'Assignment 8 - Grade Sheet'!Print_Area</vt:lpstr>
    </vt:vector>
  </TitlesOfParts>
  <Company>Procter &amp; Gamble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Schmitt</dc:creator>
  <cp:lastModifiedBy>Dell</cp:lastModifiedBy>
  <cp:lastPrinted>2004-08-18T01:41:28Z</cp:lastPrinted>
  <dcterms:created xsi:type="dcterms:W3CDTF">2004-08-17T22:34:06Z</dcterms:created>
  <dcterms:modified xsi:type="dcterms:W3CDTF">2026-03-24T12:58:46Z</dcterms:modified>
</cp:coreProperties>
</file>