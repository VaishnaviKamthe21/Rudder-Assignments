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U049\Downloads\"/>
    </mc:Choice>
  </mc:AlternateContent>
  <xr:revisionPtr revIDLastSave="0" documentId="8_{EE9437FB-6F67-4960-A1DD-1AFFE09FBDC2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Instructions" sheetId="3" r:id="rId1"/>
    <sheet name="Assignment - Functions" sheetId="2" r:id="rId2"/>
    <sheet name="Shipment Data" sheetId="1" r:id="rId3"/>
  </sheets>
  <definedNames>
    <definedName name="_xlnm._FilterDatabase" localSheetId="2" hidden="1">'Shipment Data'!$A$1:$D$97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" l="1"/>
  <c r="E37" i="2"/>
  <c r="D37" i="2"/>
  <c r="D36" i="2"/>
  <c r="F36" i="2"/>
  <c r="E36" i="2"/>
  <c r="C37" i="2"/>
  <c r="C36" i="2"/>
  <c r="D25" i="2"/>
  <c r="D26" i="2"/>
  <c r="D27" i="2"/>
  <c r="D28" i="2"/>
  <c r="D24" i="2"/>
  <c r="C25" i="2"/>
  <c r="E25" i="2" s="1"/>
  <c r="C26" i="2"/>
  <c r="E26" i="2" s="1"/>
  <c r="C27" i="2"/>
  <c r="E27" i="2" s="1"/>
  <c r="C28" i="2"/>
  <c r="E28" i="2" s="1"/>
  <c r="C24" i="2"/>
  <c r="E24" i="2" s="1"/>
  <c r="D6" i="2"/>
  <c r="D7" i="2"/>
  <c r="D8" i="2"/>
  <c r="D5" i="2"/>
  <c r="C5" i="2"/>
  <c r="C6" i="2"/>
  <c r="C7" i="2"/>
  <c r="C8" i="2"/>
  <c r="F10" i="2" l="1"/>
  <c r="E30" i="2"/>
</calcChain>
</file>

<file path=xl/sharedStrings.xml><?xml version="1.0" encoding="utf-8"?>
<sst xmlns="http://schemas.openxmlformats.org/spreadsheetml/2006/main" count="243" uniqueCount="45">
  <si>
    <t>Use functions to calculate the values in yellow cells. Use "Shipment Data" sheet as the source data.</t>
  </si>
  <si>
    <t>1.a</t>
  </si>
  <si>
    <t>Total and average shipments (1000 items) per country during CY1999 Q3 and Q4</t>
  </si>
  <si>
    <t>Country</t>
  </si>
  <si>
    <t>Total</t>
  </si>
  <si>
    <t>Average</t>
  </si>
  <si>
    <t>Italy</t>
  </si>
  <si>
    <t>Germany</t>
  </si>
  <si>
    <t>Spain</t>
  </si>
  <si>
    <t>France</t>
  </si>
  <si>
    <t>1.b</t>
  </si>
  <si>
    <t># of countries selling more than 2000000 items in CY1999 Q3 and Q4:</t>
  </si>
  <si>
    <t>1.c</t>
  </si>
  <si>
    <t>Use the following additional info to</t>
  </si>
  <si>
    <t>Brand</t>
  </si>
  <si>
    <t>Cost per item ($)</t>
  </si>
  <si>
    <t>complete below grid:</t>
  </si>
  <si>
    <t>StickTight</t>
  </si>
  <si>
    <t>MegaGoop</t>
  </si>
  <si>
    <t>Glue It</t>
  </si>
  <si>
    <t>FixiO</t>
  </si>
  <si>
    <t>JoinFast</t>
  </si>
  <si>
    <t>Adhere</t>
  </si>
  <si>
    <t>Total shipments per brand, expressed in Items and dollars, in CY1999 Q3 and Q4</t>
  </si>
  <si>
    <t>Shipments</t>
  </si>
  <si>
    <t>Cost per Item</t>
  </si>
  <si>
    <t>Cost of Sales</t>
  </si>
  <si>
    <t>(1000 Items)</t>
  </si>
  <si>
    <t>($)</t>
  </si>
  <si>
    <t>($M)</t>
  </si>
  <si>
    <t>use the Sumproduct function</t>
  </si>
  <si>
    <t>1.d</t>
  </si>
  <si>
    <t>The total cost of the sales is ($M)</t>
  </si>
  <si>
    <t>1.e</t>
  </si>
  <si>
    <t>Month, country and brand with the lowest and highest number of items sold.</t>
  </si>
  <si>
    <t>Amount (items)</t>
  </si>
  <si>
    <t>Month</t>
  </si>
  <si>
    <t>Lowest Sales</t>
  </si>
  <si>
    <t>Highest Sales</t>
  </si>
  <si>
    <t>country</t>
  </si>
  <si>
    <t>Sales (items)</t>
  </si>
  <si>
    <t>FRANCE</t>
  </si>
  <si>
    <t>GERMANY</t>
  </si>
  <si>
    <t>ITALY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</si>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</sst>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\ "/>
    <numFmt numFmtId="165" formatCode="0\ "/>
    <numFmt numFmtId="166" formatCode="[$-409]mmm\-yy;@"/>
  </numFmts>
  <fonts count="5">
    <font>
      <sz val="9"/>
      <name val="Arial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/>
    <xf numFmtId="0" fontId="1" fillId="0" borderId="4" xfId="0" applyFont="1" applyBorder="1"/>
    <xf numFmtId="165" fontId="0" fillId="0" borderId="0" xfId="0" applyNumberFormat="1" applyProtection="1">
      <protection locked="0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/>
    <xf numFmtId="0" fontId="2" fillId="0" borderId="0" xfId="0" applyFont="1"/>
    <xf numFmtId="17" fontId="0" fillId="0" borderId="0" xfId="0" applyNumberFormat="1"/>
    <xf numFmtId="165" fontId="0" fillId="0" borderId="0" xfId="0" applyNumberFormat="1"/>
    <xf numFmtId="2" fontId="0" fillId="0" borderId="5" xfId="0" applyNumberFormat="1" applyBorder="1" applyProtection="1">
      <protection locked="0"/>
    </xf>
    <xf numFmtId="2" fontId="0" fillId="0" borderId="6" xfId="0" applyNumberFormat="1" applyBorder="1" applyProtection="1">
      <protection locked="0"/>
    </xf>
    <xf numFmtId="0" fontId="1" fillId="0" borderId="0" xfId="0" applyFont="1" applyProtection="1">
      <protection locked="0"/>
    </xf>
    <xf numFmtId="0" fontId="0" fillId="2" borderId="10" xfId="0" applyFill="1" applyBorder="1"/>
    <xf numFmtId="1" fontId="3" fillId="2" borderId="0" xfId="0" applyNumberFormat="1" applyFont="1" applyFill="1"/>
    <xf numFmtId="1" fontId="3" fillId="2" borderId="5" xfId="0" applyNumberFormat="1" applyFont="1" applyFill="1" applyBorder="1"/>
    <xf numFmtId="2" fontId="3" fillId="2" borderId="0" xfId="0" applyNumberFormat="1" applyFont="1" applyFill="1"/>
    <xf numFmtId="2" fontId="3" fillId="2" borderId="5" xfId="0" applyNumberFormat="1" applyFont="1" applyFill="1" applyBorder="1" applyAlignment="1">
      <alignment horizontal="right"/>
    </xf>
    <xf numFmtId="1" fontId="3" fillId="2" borderId="9" xfId="0" applyNumberFormat="1" applyFont="1" applyFill="1" applyBorder="1"/>
    <xf numFmtId="0" fontId="0" fillId="2" borderId="0" xfId="0" applyFill="1"/>
    <xf numFmtId="166" fontId="0" fillId="2" borderId="0" xfId="0" applyNumberFormat="1" applyFill="1"/>
    <xf numFmtId="0" fontId="0" fillId="2" borderId="5" xfId="0" applyFill="1" applyBorder="1"/>
    <xf numFmtId="0" fontId="0" fillId="2" borderId="8" xfId="0" applyFill="1" applyBorder="1"/>
    <xf numFmtId="0" fontId="4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showGridLines="0" workbookViewId="0">
      <selection activeCell="I14" sqref="I14"/>
    </sheetView>
  </sheetViews>
  <sheetFormatPr defaultRowHeight="11.45"/>
  <cols>
    <col min="1" max="1" width="2.28515625" customWidth="1"/>
  </cols>
  <sheetData>
    <row r="2" spans="2:10" ht="13.9">
      <c r="B2" s="35" t="s">
        <v>0</v>
      </c>
    </row>
    <row r="3" spans="2:10" ht="12">
      <c r="C3" s="7"/>
    </row>
    <row r="4" spans="2:10" ht="12">
      <c r="F4" s="24"/>
      <c r="G4" s="24"/>
      <c r="H4" s="7"/>
      <c r="I4" s="7"/>
      <c r="J4" s="7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G39"/>
  <sheetViews>
    <sheetView tabSelected="1" topLeftCell="A13" workbookViewId="0">
      <selection activeCell="B35" sqref="B35:F37"/>
    </sheetView>
  </sheetViews>
  <sheetFormatPr defaultRowHeight="11.45"/>
  <cols>
    <col min="2" max="2" width="17.85546875" customWidth="1"/>
    <col min="3" max="3" width="17" customWidth="1"/>
    <col min="4" max="4" width="14.85546875" customWidth="1"/>
    <col min="5" max="5" width="14.28515625" customWidth="1"/>
    <col min="6" max="6" width="12.7109375" bestFit="1" customWidth="1"/>
    <col min="9" max="9" width="11.5703125" bestFit="1" customWidth="1"/>
  </cols>
  <sheetData>
    <row r="2" spans="1:7" ht="12">
      <c r="A2" t="s">
        <v>1</v>
      </c>
      <c r="B2" s="7" t="s">
        <v>2</v>
      </c>
      <c r="C2" s="7"/>
      <c r="D2" s="7"/>
      <c r="E2" s="7"/>
      <c r="F2" s="7"/>
    </row>
    <row r="3" spans="1:7" ht="12" thickBot="1"/>
    <row r="4" spans="1:7" ht="12">
      <c r="B4" s="10" t="s">
        <v>3</v>
      </c>
      <c r="C4" s="15" t="s">
        <v>4</v>
      </c>
      <c r="D4" s="13" t="s">
        <v>5</v>
      </c>
    </row>
    <row r="5" spans="1:7" ht="12">
      <c r="B5" s="5" t="s">
        <v>6</v>
      </c>
      <c r="C5" s="26">
        <f>SUMIFS('Shipment Data'!D:D,
        'Shipment Data'!C:C, B5,
        'Shipment Data'!A:A, "&gt;=01-Jul-1999",
        'Shipment Data'!A:A, "&lt;=31-Dec-1999") / 1000</f>
        <v>2066.8220000000001</v>
      </c>
      <c r="D5" s="27">
        <f>AVERAGEIFS('Shipment Data'!D:D,
            'Shipment Data'!C:C, B5,
            'Shipment Data'!A:A, "&gt;=01-Jul-1999",
            'Shipment Data'!A:A, "&lt;=31-Dec-1999") / 1000</f>
        <v>86.117583333333329</v>
      </c>
    </row>
    <row r="6" spans="1:7" ht="12">
      <c r="B6" s="5" t="s">
        <v>7</v>
      </c>
      <c r="C6" s="26">
        <f>SUMIFS('Shipment Data'!D:D,
        'Shipment Data'!C:C, B6,
        'Shipment Data'!A:A, "&gt;=01-Jul-1999",
        'Shipment Data'!A:A, "&lt;=31-Dec-1999") / 1000</f>
        <v>2249.0050000000001</v>
      </c>
      <c r="D6" s="27">
        <f>AVERAGEIFS('Shipment Data'!D:D,
            'Shipment Data'!C:C, B6,
            'Shipment Data'!A:A, "&gt;=01-Jul-1999",
            'Shipment Data'!A:A, "&lt;=31-Dec-1999") / 1000</f>
        <v>93.708541666666676</v>
      </c>
    </row>
    <row r="7" spans="1:7" ht="12">
      <c r="B7" s="5" t="s">
        <v>8</v>
      </c>
      <c r="C7" s="26">
        <f>SUMIFS('Shipment Data'!D:D,
        'Shipment Data'!C:C, B7,
        'Shipment Data'!A:A, "&gt;=01-Jul-1999",
        'Shipment Data'!A:A, "&lt;=31-Dec-1999") / 1000</f>
        <v>1106.117</v>
      </c>
      <c r="D7" s="27">
        <f>AVERAGEIFS('Shipment Data'!D:D,
            'Shipment Data'!C:C, B7,
            'Shipment Data'!A:A, "&gt;=01-Jul-1999",
            'Shipment Data'!A:A, "&lt;=31-Dec-1999") / 1000</f>
        <v>46.088208333333334</v>
      </c>
    </row>
    <row r="8" spans="1:7" ht="12">
      <c r="B8" s="6" t="s">
        <v>9</v>
      </c>
      <c r="C8" s="26">
        <f>SUMIFS('Shipment Data'!D:D,
        'Shipment Data'!C:C, B8,
        'Shipment Data'!A:A, "&gt;=01-Jul-1999",
        'Shipment Data'!A:A, "&lt;=31-Dec-1999") / 1000</f>
        <v>1534.424</v>
      </c>
      <c r="D8" s="27">
        <f>AVERAGEIFS('Shipment Data'!D:D,
            'Shipment Data'!C:C, B8,
            'Shipment Data'!A:A, "&gt;=01-Jul-1999",
            'Shipment Data'!A:A, "&lt;=31-Dec-1999") / 1000</f>
        <v>63.934333333333335</v>
      </c>
    </row>
    <row r="9" spans="1:7" ht="12"/>
    <row r="10" spans="1:7" ht="12">
      <c r="A10" t="s">
        <v>10</v>
      </c>
      <c r="B10" s="37" t="s">
        <v>11</v>
      </c>
      <c r="C10" s="37"/>
      <c r="D10" s="37"/>
      <c r="E10" s="37"/>
      <c r="F10" s="25">
        <f>COUNTIF(C5:C8, "&gt;2000")</f>
        <v>2</v>
      </c>
    </row>
    <row r="11" spans="1:7" ht="12.6" thickBot="1">
      <c r="G11" s="7"/>
    </row>
    <row r="12" spans="1:7" ht="12">
      <c r="A12" t="s">
        <v>12</v>
      </c>
      <c r="B12" t="s">
        <v>13</v>
      </c>
      <c r="D12" s="10" t="s">
        <v>14</v>
      </c>
      <c r="E12" s="11" t="s">
        <v>15</v>
      </c>
      <c r="F12" s="7"/>
    </row>
    <row r="13" spans="1:7">
      <c r="B13" t="s">
        <v>16</v>
      </c>
      <c r="D13" s="8" t="s">
        <v>17</v>
      </c>
      <c r="E13" s="22">
        <v>0.3</v>
      </c>
    </row>
    <row r="14" spans="1:7">
      <c r="D14" s="8" t="s">
        <v>18</v>
      </c>
      <c r="E14" s="22">
        <v>0.45</v>
      </c>
    </row>
    <row r="15" spans="1:7">
      <c r="D15" s="8" t="s">
        <v>19</v>
      </c>
      <c r="E15" s="22">
        <v>0.3</v>
      </c>
    </row>
    <row r="16" spans="1:7">
      <c r="D16" s="8" t="s">
        <v>20</v>
      </c>
      <c r="E16" s="22">
        <v>0.3</v>
      </c>
    </row>
    <row r="17" spans="1:7">
      <c r="D17" s="8" t="s">
        <v>21</v>
      </c>
      <c r="E17" s="22">
        <v>0.28000000000000003</v>
      </c>
    </row>
    <row r="18" spans="1:7" ht="12" thickBot="1">
      <c r="D18" s="9" t="s">
        <v>22</v>
      </c>
      <c r="E18" s="23">
        <v>0.35</v>
      </c>
    </row>
    <row r="20" spans="1:7" ht="12">
      <c r="B20" s="7" t="s">
        <v>23</v>
      </c>
      <c r="C20" s="7"/>
      <c r="D20" s="7"/>
      <c r="E20" s="7"/>
      <c r="F20" s="7"/>
    </row>
    <row r="21" spans="1:7" ht="12" thickBot="1"/>
    <row r="22" spans="1:7" ht="12">
      <c r="B22" s="14" t="s">
        <v>14</v>
      </c>
      <c r="C22" s="15" t="s">
        <v>24</v>
      </c>
      <c r="D22" s="18" t="s">
        <v>25</v>
      </c>
      <c r="E22" s="13" t="s">
        <v>26</v>
      </c>
    </row>
    <row r="23" spans="1:7" ht="12">
      <c r="B23" s="16"/>
      <c r="C23" s="36" t="s">
        <v>27</v>
      </c>
      <c r="D23" s="36" t="s">
        <v>28</v>
      </c>
      <c r="E23" s="17" t="s">
        <v>29</v>
      </c>
    </row>
    <row r="24" spans="1:7" ht="12">
      <c r="B24" s="8" t="s">
        <v>22</v>
      </c>
      <c r="C24" s="26">
        <f>SUMIFS('Shipment Data'!D:D,
        'Shipment Data'!B:B, B24,
        'Shipment Data'!A:A, "&gt;=01-Jul-1999",
        'Shipment Data'!A:A, "&lt;=31-Dec-1999") / 1000</f>
        <v>785.80100000000004</v>
      </c>
      <c r="D24" s="28">
        <f>VLOOKUP(B24, $D$13:$E$18, 2, FALSE)</f>
        <v>0.35</v>
      </c>
      <c r="E24" s="29">
        <f>C24 * D24</f>
        <v>275.03035</v>
      </c>
    </row>
    <row r="25" spans="1:7" ht="12">
      <c r="B25" s="8" t="s">
        <v>20</v>
      </c>
      <c r="C25" s="26">
        <f>SUMIFS('Shipment Data'!D:D,
        'Shipment Data'!B:B, B25,
        'Shipment Data'!A:A, "&gt;=01-Jul-1999",
        'Shipment Data'!A:A, "&lt;=31-Dec-1999") / 1000</f>
        <v>318.12</v>
      </c>
      <c r="D25" s="28">
        <f t="shared" ref="D25:D28" si="0">VLOOKUP(B25, $D$13:$E$18, 2, FALSE)</f>
        <v>0.3</v>
      </c>
      <c r="E25" s="29">
        <f>C25 * D25</f>
        <v>95.435999999999993</v>
      </c>
    </row>
    <row r="26" spans="1:7" ht="12">
      <c r="B26" s="8" t="s">
        <v>19</v>
      </c>
      <c r="C26" s="26">
        <f>SUMIFS('Shipment Data'!D:D,
        'Shipment Data'!B:B, B26,
        'Shipment Data'!A:A, "&gt;=01-Jul-1999",
        'Shipment Data'!A:A, "&lt;=31-Dec-1999") / 1000</f>
        <v>3320.181</v>
      </c>
      <c r="D26" s="28">
        <f t="shared" si="0"/>
        <v>0.3</v>
      </c>
      <c r="E26" s="29">
        <f t="shared" ref="E25:E28" si="1">C26 * D26</f>
        <v>996.05430000000001</v>
      </c>
    </row>
    <row r="27" spans="1:7" ht="12">
      <c r="B27" s="8" t="s">
        <v>21</v>
      </c>
      <c r="C27" s="26">
        <f>SUMIFS('Shipment Data'!D:D,
        'Shipment Data'!B:B, B27,
        'Shipment Data'!A:A, "&gt;=01-Jul-1999",
        'Shipment Data'!A:A, "&lt;=31-Dec-1999") / 1000</f>
        <v>1638.098</v>
      </c>
      <c r="D27" s="28">
        <f t="shared" si="0"/>
        <v>0.28000000000000003</v>
      </c>
      <c r="E27" s="29">
        <f t="shared" si="1"/>
        <v>458.66744000000006</v>
      </c>
    </row>
    <row r="28" spans="1:7" ht="12">
      <c r="B28" s="9" t="s">
        <v>17</v>
      </c>
      <c r="C28" s="26">
        <f>SUMIFS('Shipment Data'!D:D,
        'Shipment Data'!B:B, B28,
        'Shipment Data'!A:A, "&gt;=01-Jul-1999",
        'Shipment Data'!A:A, "&lt;=31-Dec-1999") / 1000</f>
        <v>894.16800000000001</v>
      </c>
      <c r="D28" s="28">
        <f t="shared" si="0"/>
        <v>0.3</v>
      </c>
      <c r="E28" s="29">
        <f t="shared" si="1"/>
        <v>268.25040000000001</v>
      </c>
    </row>
    <row r="29" spans="1:7" ht="12">
      <c r="G29" s="19" t="s">
        <v>30</v>
      </c>
    </row>
    <row r="30" spans="1:7" ht="12.6" thickBot="1">
      <c r="A30" t="s">
        <v>31</v>
      </c>
      <c r="B30" s="24" t="s">
        <v>32</v>
      </c>
      <c r="C30" s="7"/>
      <c r="E30" s="30">
        <f>SUMPRODUCT(C24:C28, D24:D28)</f>
        <v>2093.43849</v>
      </c>
    </row>
    <row r="34" spans="1:6" ht="12.6" thickBot="1">
      <c r="A34" t="s">
        <v>33</v>
      </c>
      <c r="B34" s="24" t="s">
        <v>34</v>
      </c>
      <c r="C34" s="7"/>
      <c r="D34" s="7"/>
      <c r="E34" s="7"/>
      <c r="F34" s="7"/>
    </row>
    <row r="35" spans="1:6" ht="12">
      <c r="B35" s="10"/>
      <c r="C35" s="18" t="s">
        <v>35</v>
      </c>
      <c r="D35" s="18" t="s">
        <v>36</v>
      </c>
      <c r="E35" s="18" t="s">
        <v>14</v>
      </c>
      <c r="F35" s="11" t="s">
        <v>3</v>
      </c>
    </row>
    <row r="36" spans="1:6" ht="12">
      <c r="B36" s="5" t="s">
        <v>37</v>
      </c>
      <c r="C36" s="31">
        <f>MIN('Shipment Data'!D:D)</f>
        <v>113</v>
      </c>
      <c r="D36" s="32">
        <f>INDEX('Shipment Data'!A:A, MATCH(MIN('Shipment Data'!D:D), 'Shipment Data'!D:D, 0))</f>
        <v>36434</v>
      </c>
      <c r="E36" s="31" t="str">
        <f>INDEX('Shipment Data'!B:B, MATCH(MIN('Shipment Data'!D:D), 'Shipment Data'!D:D, 0))</f>
        <v>Adhere</v>
      </c>
      <c r="F36" s="33" t="str">
        <f>INDEX('Shipment Data'!C:C, MATCH(MIN('Shipment Data'!D:D), 'Shipment Data'!D:D, 0))</f>
        <v>FRANCE</v>
      </c>
    </row>
    <row r="37" spans="1:6" ht="12">
      <c r="B37" s="6" t="s">
        <v>38</v>
      </c>
      <c r="C37" s="34">
        <f>MAX('Shipment Data'!D:D)</f>
        <v>311369</v>
      </c>
      <c r="D37" s="32">
        <f>INDEX('Shipment Data'!A:A, MATCH(MAX('Shipment Data'!D:D), 'Shipment Data'!D:D, 0))</f>
        <v>36404</v>
      </c>
      <c r="E37" s="31" t="str">
        <f>INDEX('Shipment Data'!B:B, MATCH(MAX('Shipment Data'!D:D), 'Shipment Data'!D:D, 0))</f>
        <v>JoinFast</v>
      </c>
      <c r="F37" s="33" t="str">
        <f>INDEX('Shipment Data'!C:C, MATCH(MAX('Shipment Data'!D:D), 'Shipment Data'!D:D, 0))</f>
        <v>ITALY</v>
      </c>
    </row>
    <row r="38" spans="1:6" ht="12"/>
    <row r="39" spans="1:6" ht="12"/>
  </sheetData>
  <mergeCells count="1">
    <mergeCell ref="B10:E10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92"/>
  <sheetViews>
    <sheetView topLeftCell="A59" workbookViewId="0">
      <selection activeCell="I11" sqref="I11"/>
    </sheetView>
  </sheetViews>
  <sheetFormatPr defaultColWidth="10.5703125" defaultRowHeight="12.75" customHeight="1"/>
  <cols>
    <col min="1" max="1" width="10.5703125" customWidth="1"/>
    <col min="2" max="3" width="17.5703125" customWidth="1"/>
    <col min="4" max="4" width="11.7109375" bestFit="1" customWidth="1"/>
  </cols>
  <sheetData>
    <row r="1" spans="1:9" ht="12.75" customHeight="1">
      <c r="A1" s="4" t="s">
        <v>36</v>
      </c>
      <c r="B1" s="4" t="s">
        <v>14</v>
      </c>
      <c r="C1" s="4" t="s">
        <v>39</v>
      </c>
      <c r="D1" s="4" t="s">
        <v>40</v>
      </c>
    </row>
    <row r="2" spans="1:9" ht="12.75" customHeight="1">
      <c r="A2" s="3">
        <v>36342</v>
      </c>
      <c r="B2" s="1" t="s">
        <v>19</v>
      </c>
      <c r="C2" s="1" t="s">
        <v>41</v>
      </c>
      <c r="D2" s="12">
        <v>186940</v>
      </c>
    </row>
    <row r="3" spans="1:9" ht="12.75" customHeight="1">
      <c r="A3" s="3">
        <v>36342</v>
      </c>
      <c r="B3" s="1" t="s">
        <v>17</v>
      </c>
      <c r="C3" s="1" t="s">
        <v>41</v>
      </c>
      <c r="D3" s="12">
        <v>45304</v>
      </c>
      <c r="F3" s="4"/>
      <c r="G3" s="4"/>
      <c r="H3" s="4"/>
      <c r="I3" s="4"/>
    </row>
    <row r="4" spans="1:9" ht="12.75" customHeight="1">
      <c r="A4" s="3">
        <v>36342</v>
      </c>
      <c r="B4" s="1" t="s">
        <v>22</v>
      </c>
      <c r="C4" s="1" t="s">
        <v>41</v>
      </c>
      <c r="D4" s="12">
        <v>154</v>
      </c>
      <c r="F4" s="20"/>
      <c r="I4" s="21"/>
    </row>
    <row r="5" spans="1:9" ht="12.75" customHeight="1">
      <c r="A5" s="3">
        <v>36342</v>
      </c>
      <c r="B5" s="1" t="s">
        <v>20</v>
      </c>
      <c r="C5" s="1" t="s">
        <v>41</v>
      </c>
      <c r="D5" s="12">
        <v>23095</v>
      </c>
      <c r="F5" s="20"/>
      <c r="I5" s="21"/>
    </row>
    <row r="6" spans="1:9" ht="12.75" customHeight="1">
      <c r="A6" s="3">
        <v>36342</v>
      </c>
      <c r="B6" s="1" t="s">
        <v>19</v>
      </c>
      <c r="C6" s="1" t="s">
        <v>42</v>
      </c>
      <c r="D6" s="12">
        <v>241893</v>
      </c>
      <c r="F6" s="20"/>
      <c r="I6" s="21"/>
    </row>
    <row r="7" spans="1:9" ht="12.75" customHeight="1">
      <c r="A7" s="3">
        <v>36342</v>
      </c>
      <c r="B7" s="1" t="s">
        <v>17</v>
      </c>
      <c r="C7" s="1" t="s">
        <v>42</v>
      </c>
      <c r="D7" s="12">
        <v>17962</v>
      </c>
      <c r="F7" s="20"/>
      <c r="I7" s="21"/>
    </row>
    <row r="8" spans="1:9" ht="12.75" customHeight="1">
      <c r="A8" s="3">
        <v>36342</v>
      </c>
      <c r="B8" s="1" t="s">
        <v>22</v>
      </c>
      <c r="C8" s="1" t="s">
        <v>42</v>
      </c>
      <c r="D8" s="12">
        <v>124265</v>
      </c>
      <c r="F8" s="20"/>
      <c r="I8" s="21"/>
    </row>
    <row r="9" spans="1:9" ht="12.75" customHeight="1">
      <c r="A9" s="3">
        <v>36342</v>
      </c>
      <c r="B9" s="1" t="s">
        <v>20</v>
      </c>
      <c r="C9" s="1" t="s">
        <v>42</v>
      </c>
      <c r="D9" s="12">
        <v>47072</v>
      </c>
      <c r="F9" s="20"/>
      <c r="I9" s="21"/>
    </row>
    <row r="10" spans="1:9" ht="12.75" customHeight="1">
      <c r="A10" s="3">
        <v>36342</v>
      </c>
      <c r="B10" s="1" t="s">
        <v>19</v>
      </c>
      <c r="C10" s="1" t="s">
        <v>43</v>
      </c>
      <c r="D10" s="12">
        <v>27871</v>
      </c>
      <c r="F10" s="20"/>
      <c r="I10" s="21"/>
    </row>
    <row r="11" spans="1:9" ht="12.75" customHeight="1">
      <c r="A11" s="3">
        <v>36342</v>
      </c>
      <c r="B11" s="1" t="s">
        <v>17</v>
      </c>
      <c r="C11" s="1" t="s">
        <v>43</v>
      </c>
      <c r="D11" s="12">
        <v>33459</v>
      </c>
      <c r="F11" s="20"/>
      <c r="I11" s="21"/>
    </row>
    <row r="12" spans="1:9" ht="12.75" customHeight="1">
      <c r="A12" s="3">
        <v>36342</v>
      </c>
      <c r="B12" s="1" t="s">
        <v>21</v>
      </c>
      <c r="C12" s="1" t="s">
        <v>43</v>
      </c>
      <c r="D12" s="12">
        <v>284836</v>
      </c>
      <c r="F12" s="20"/>
      <c r="I12" s="21"/>
    </row>
    <row r="13" spans="1:9" ht="12.75" customHeight="1">
      <c r="A13" s="3">
        <v>36342</v>
      </c>
      <c r="B13" s="1" t="s">
        <v>22</v>
      </c>
      <c r="C13" s="1" t="s">
        <v>43</v>
      </c>
      <c r="D13" s="12">
        <v>9249</v>
      </c>
      <c r="F13" s="20"/>
      <c r="I13" s="21"/>
    </row>
    <row r="14" spans="1:9" ht="12.75" customHeight="1">
      <c r="A14" s="3">
        <v>36342</v>
      </c>
      <c r="B14" s="1" t="s">
        <v>19</v>
      </c>
      <c r="C14" s="1" t="s">
        <v>44</v>
      </c>
      <c r="D14" s="12">
        <v>146296</v>
      </c>
      <c r="F14" s="20"/>
      <c r="I14" s="21"/>
    </row>
    <row r="15" spans="1:9" ht="12.75" customHeight="1">
      <c r="A15" s="3">
        <v>36342</v>
      </c>
      <c r="B15" s="1" t="s">
        <v>17</v>
      </c>
      <c r="C15" s="1" t="s">
        <v>44</v>
      </c>
      <c r="D15" s="12">
        <v>24947</v>
      </c>
      <c r="F15" s="20"/>
      <c r="I15" s="21"/>
    </row>
    <row r="16" spans="1:9" ht="12.75" customHeight="1">
      <c r="A16" s="3">
        <v>36342</v>
      </c>
      <c r="B16" s="1" t="s">
        <v>21</v>
      </c>
      <c r="C16" s="1" t="s">
        <v>44</v>
      </c>
      <c r="D16" s="12">
        <v>9593</v>
      </c>
      <c r="F16" s="20"/>
      <c r="I16" s="21"/>
    </row>
    <row r="17" spans="1:9" ht="12.75" customHeight="1">
      <c r="A17" s="3">
        <v>36342</v>
      </c>
      <c r="B17" s="1" t="s">
        <v>22</v>
      </c>
      <c r="C17" s="1" t="s">
        <v>44</v>
      </c>
      <c r="D17" s="12">
        <v>8532</v>
      </c>
      <c r="F17" s="20"/>
      <c r="I17" s="21"/>
    </row>
    <row r="18" spans="1:9" ht="12.75" customHeight="1">
      <c r="A18" s="3">
        <v>36373</v>
      </c>
      <c r="B18" s="1" t="s">
        <v>19</v>
      </c>
      <c r="C18" s="1" t="s">
        <v>41</v>
      </c>
      <c r="D18" s="12">
        <v>166452</v>
      </c>
      <c r="F18" s="20"/>
      <c r="I18" s="21"/>
    </row>
    <row r="19" spans="1:9" ht="12.75" customHeight="1">
      <c r="A19" s="3">
        <v>36373</v>
      </c>
      <c r="B19" s="1" t="s">
        <v>17</v>
      </c>
      <c r="C19" s="1" t="s">
        <v>41</v>
      </c>
      <c r="D19" s="12">
        <v>40083</v>
      </c>
      <c r="F19" s="20"/>
      <c r="I19" s="21"/>
    </row>
    <row r="20" spans="1:9" ht="12.75" customHeight="1">
      <c r="A20" s="3">
        <v>36373</v>
      </c>
      <c r="B20" s="1" t="s">
        <v>22</v>
      </c>
      <c r="C20" s="1" t="s">
        <v>41</v>
      </c>
      <c r="D20" s="12">
        <v>203</v>
      </c>
      <c r="F20" s="20"/>
      <c r="I20" s="21"/>
    </row>
    <row r="21" spans="1:9" ht="12.75" customHeight="1">
      <c r="A21" s="3">
        <v>36373</v>
      </c>
      <c r="B21" s="1" t="s">
        <v>20</v>
      </c>
      <c r="C21" s="1" t="s">
        <v>41</v>
      </c>
      <c r="D21" s="12">
        <v>21222</v>
      </c>
      <c r="F21" s="20"/>
      <c r="I21" s="21"/>
    </row>
    <row r="22" spans="1:9" ht="12.75" customHeight="1">
      <c r="A22" s="3">
        <v>36373</v>
      </c>
      <c r="B22" s="1" t="s">
        <v>19</v>
      </c>
      <c r="C22" s="1" t="s">
        <v>42</v>
      </c>
      <c r="D22" s="12">
        <v>147905</v>
      </c>
      <c r="F22" s="20"/>
      <c r="I22" s="21"/>
    </row>
    <row r="23" spans="1:9" ht="12.75" customHeight="1">
      <c r="A23" s="3">
        <v>36373</v>
      </c>
      <c r="B23" s="1" t="s">
        <v>17</v>
      </c>
      <c r="C23" s="1" t="s">
        <v>42</v>
      </c>
      <c r="D23" s="12">
        <v>30030</v>
      </c>
      <c r="F23" s="20"/>
      <c r="I23" s="21"/>
    </row>
    <row r="24" spans="1:9" ht="12.75" customHeight="1">
      <c r="A24" s="3">
        <v>36373</v>
      </c>
      <c r="B24" s="1" t="s">
        <v>22</v>
      </c>
      <c r="C24" s="1" t="s">
        <v>42</v>
      </c>
      <c r="D24" s="12">
        <v>117179</v>
      </c>
      <c r="F24" s="20"/>
      <c r="I24" s="21"/>
    </row>
    <row r="25" spans="1:9" ht="12.75" customHeight="1">
      <c r="A25" s="3">
        <v>36373</v>
      </c>
      <c r="B25" s="1" t="s">
        <v>20</v>
      </c>
      <c r="C25" s="1" t="s">
        <v>42</v>
      </c>
      <c r="D25" s="12">
        <v>30948</v>
      </c>
      <c r="F25" s="20"/>
      <c r="I25" s="21"/>
    </row>
    <row r="26" spans="1:9" ht="12.75" customHeight="1">
      <c r="A26" s="3">
        <v>36373</v>
      </c>
      <c r="B26" s="1" t="s">
        <v>19</v>
      </c>
      <c r="C26" s="1" t="s">
        <v>43</v>
      </c>
      <c r="D26" s="12">
        <v>21492</v>
      </c>
      <c r="F26" s="20"/>
      <c r="I26" s="21"/>
    </row>
    <row r="27" spans="1:9" ht="12.75" customHeight="1">
      <c r="A27" s="3">
        <v>36373</v>
      </c>
      <c r="B27" s="1" t="s">
        <v>17</v>
      </c>
      <c r="C27" s="1" t="s">
        <v>43</v>
      </c>
      <c r="D27" s="12">
        <v>46176</v>
      </c>
      <c r="F27" s="20"/>
      <c r="I27" s="21"/>
    </row>
    <row r="28" spans="1:9" ht="12.75" customHeight="1">
      <c r="A28" s="3">
        <v>36373</v>
      </c>
      <c r="B28" s="1" t="s">
        <v>21</v>
      </c>
      <c r="C28" s="1" t="s">
        <v>43</v>
      </c>
      <c r="D28" s="12">
        <v>273394</v>
      </c>
      <c r="F28" s="20"/>
      <c r="I28" s="21"/>
    </row>
    <row r="29" spans="1:9" ht="12.75" customHeight="1">
      <c r="A29" s="3">
        <v>36373</v>
      </c>
      <c r="B29" s="1" t="s">
        <v>22</v>
      </c>
      <c r="C29" s="1" t="s">
        <v>43</v>
      </c>
      <c r="D29" s="12">
        <v>12665</v>
      </c>
      <c r="F29" s="20"/>
      <c r="I29" s="21"/>
    </row>
    <row r="30" spans="1:9" ht="12.75" customHeight="1">
      <c r="A30" s="3">
        <v>36373</v>
      </c>
      <c r="B30" s="1" t="s">
        <v>19</v>
      </c>
      <c r="C30" s="1" t="s">
        <v>44</v>
      </c>
      <c r="D30" s="12">
        <v>141446</v>
      </c>
      <c r="F30" s="20"/>
      <c r="I30" s="21"/>
    </row>
    <row r="31" spans="1:9" ht="12.75" customHeight="1">
      <c r="A31" s="3">
        <v>36373</v>
      </c>
      <c r="B31" s="1" t="s">
        <v>17</v>
      </c>
      <c r="C31" s="1" t="s">
        <v>44</v>
      </c>
      <c r="D31" s="12">
        <v>32263</v>
      </c>
      <c r="F31" s="20"/>
      <c r="I31" s="21"/>
    </row>
    <row r="32" spans="1:9" ht="12.75" customHeight="1">
      <c r="A32" s="3">
        <v>36373</v>
      </c>
      <c r="B32" s="1" t="s">
        <v>21</v>
      </c>
      <c r="C32" s="1" t="s">
        <v>44</v>
      </c>
      <c r="D32" s="12">
        <v>6989</v>
      </c>
      <c r="F32" s="20"/>
      <c r="I32" s="21"/>
    </row>
    <row r="33" spans="1:9" ht="12.75" customHeight="1">
      <c r="A33" s="3">
        <v>36373</v>
      </c>
      <c r="B33" s="1" t="s">
        <v>22</v>
      </c>
      <c r="C33" s="1" t="s">
        <v>44</v>
      </c>
      <c r="D33" s="12">
        <v>7531</v>
      </c>
      <c r="F33" s="20"/>
      <c r="I33" s="21"/>
    </row>
    <row r="34" spans="1:9" ht="12.75" customHeight="1">
      <c r="A34" s="3">
        <v>36404</v>
      </c>
      <c r="B34" s="1" t="s">
        <v>19</v>
      </c>
      <c r="C34" s="1" t="s">
        <v>41</v>
      </c>
      <c r="D34" s="12">
        <v>218828</v>
      </c>
      <c r="F34" s="20"/>
      <c r="I34" s="21"/>
    </row>
    <row r="35" spans="1:9" ht="12.75" customHeight="1">
      <c r="A35" s="3">
        <v>36404</v>
      </c>
      <c r="B35" s="1" t="s">
        <v>17</v>
      </c>
      <c r="C35" s="1" t="s">
        <v>41</v>
      </c>
      <c r="D35" s="12">
        <v>43179</v>
      </c>
      <c r="F35" s="20"/>
      <c r="I35" s="21"/>
    </row>
    <row r="36" spans="1:9" ht="12.75" customHeight="1">
      <c r="A36" s="3">
        <v>36404</v>
      </c>
      <c r="B36" s="1" t="s">
        <v>22</v>
      </c>
      <c r="C36" s="1" t="s">
        <v>41</v>
      </c>
      <c r="D36" s="12">
        <v>190</v>
      </c>
      <c r="F36" s="20"/>
      <c r="I36" s="21"/>
    </row>
    <row r="37" spans="1:9" ht="12.75" customHeight="1">
      <c r="A37" s="3">
        <v>36404</v>
      </c>
      <c r="B37" s="1" t="s">
        <v>20</v>
      </c>
      <c r="C37" s="1" t="s">
        <v>41</v>
      </c>
      <c r="D37" s="12">
        <v>22920</v>
      </c>
      <c r="F37" s="20"/>
      <c r="I37" s="21"/>
    </row>
    <row r="38" spans="1:9" ht="12.75" customHeight="1">
      <c r="A38" s="3">
        <v>36404</v>
      </c>
      <c r="B38" s="1" t="s">
        <v>19</v>
      </c>
      <c r="C38" s="1" t="s">
        <v>42</v>
      </c>
      <c r="D38" s="12">
        <v>152713</v>
      </c>
      <c r="F38" s="20"/>
      <c r="I38" s="21"/>
    </row>
    <row r="39" spans="1:9" ht="12.75" customHeight="1">
      <c r="A39" s="3">
        <v>36404</v>
      </c>
      <c r="B39" s="1" t="s">
        <v>17</v>
      </c>
      <c r="C39" s="1" t="s">
        <v>42</v>
      </c>
      <c r="D39" s="12">
        <v>18141</v>
      </c>
      <c r="F39" s="20"/>
      <c r="I39" s="21"/>
    </row>
    <row r="40" spans="1:9" ht="12.75" customHeight="1">
      <c r="A40" s="3">
        <v>36404</v>
      </c>
      <c r="B40" s="1" t="s">
        <v>22</v>
      </c>
      <c r="C40" s="1" t="s">
        <v>42</v>
      </c>
      <c r="D40" s="12">
        <v>87900</v>
      </c>
      <c r="F40" s="20"/>
      <c r="I40" s="21"/>
    </row>
    <row r="41" spans="1:9" ht="12.75" customHeight="1">
      <c r="A41" s="3">
        <v>36404</v>
      </c>
      <c r="B41" s="1" t="s">
        <v>20</v>
      </c>
      <c r="C41" s="1" t="s">
        <v>42</v>
      </c>
      <c r="D41" s="12">
        <v>25008</v>
      </c>
      <c r="F41" s="20"/>
      <c r="I41" s="21"/>
    </row>
    <row r="42" spans="1:9" ht="12.75" customHeight="1">
      <c r="A42" s="3">
        <v>36404</v>
      </c>
      <c r="B42" s="1" t="s">
        <v>19</v>
      </c>
      <c r="C42" s="1" t="s">
        <v>43</v>
      </c>
      <c r="D42" s="12">
        <v>16761</v>
      </c>
      <c r="F42" s="20"/>
      <c r="I42" s="21"/>
    </row>
    <row r="43" spans="1:9" ht="12.75" customHeight="1">
      <c r="A43" s="3">
        <v>36404</v>
      </c>
      <c r="B43" s="1" t="s">
        <v>17</v>
      </c>
      <c r="C43" s="1" t="s">
        <v>43</v>
      </c>
      <c r="D43" s="12">
        <v>62041</v>
      </c>
      <c r="F43" s="20"/>
      <c r="I43" s="21"/>
    </row>
    <row r="44" spans="1:9" ht="12.75" customHeight="1">
      <c r="A44" s="3">
        <v>36404</v>
      </c>
      <c r="B44" s="1" t="s">
        <v>21</v>
      </c>
      <c r="C44" s="1" t="s">
        <v>43</v>
      </c>
      <c r="D44" s="12">
        <v>311369</v>
      </c>
      <c r="F44" s="20"/>
      <c r="I44" s="21"/>
    </row>
    <row r="45" spans="1:9" ht="12.75" customHeight="1">
      <c r="A45" s="3">
        <v>36404</v>
      </c>
      <c r="B45" s="1" t="s">
        <v>22</v>
      </c>
      <c r="C45" s="1" t="s">
        <v>43</v>
      </c>
      <c r="D45" s="12">
        <v>7925</v>
      </c>
      <c r="F45" s="20"/>
      <c r="I45" s="21"/>
    </row>
    <row r="46" spans="1:9" ht="12.75" customHeight="1">
      <c r="A46" s="3">
        <v>36404</v>
      </c>
      <c r="B46" s="1" t="s">
        <v>19</v>
      </c>
      <c r="C46" s="1" t="s">
        <v>44</v>
      </c>
      <c r="D46" s="12">
        <v>181605</v>
      </c>
      <c r="F46" s="20"/>
      <c r="I46" s="21"/>
    </row>
    <row r="47" spans="1:9" ht="12.75" customHeight="1">
      <c r="A47" s="3">
        <v>36404</v>
      </c>
      <c r="B47" s="1" t="s">
        <v>17</v>
      </c>
      <c r="C47" s="1" t="s">
        <v>44</v>
      </c>
      <c r="D47" s="12">
        <v>37603</v>
      </c>
      <c r="F47" s="20"/>
      <c r="I47" s="21"/>
    </row>
    <row r="48" spans="1:9" ht="12.75" customHeight="1">
      <c r="A48" s="3">
        <v>36404</v>
      </c>
      <c r="B48" s="1" t="s">
        <v>21</v>
      </c>
      <c r="C48" s="1" t="s">
        <v>44</v>
      </c>
      <c r="D48" s="12">
        <v>6667</v>
      </c>
      <c r="F48" s="20"/>
      <c r="I48" s="21"/>
    </row>
    <row r="49" spans="1:9" ht="12.75" customHeight="1">
      <c r="A49" s="3">
        <v>36404</v>
      </c>
      <c r="B49" s="1" t="s">
        <v>22</v>
      </c>
      <c r="C49" s="1" t="s">
        <v>44</v>
      </c>
      <c r="D49" s="12">
        <v>7739</v>
      </c>
      <c r="F49" s="20"/>
      <c r="I49" s="21"/>
    </row>
    <row r="50" spans="1:9" ht="12.75" customHeight="1">
      <c r="A50" s="3">
        <v>36434</v>
      </c>
      <c r="B50" s="1" t="s">
        <v>19</v>
      </c>
      <c r="C50" s="1" t="s">
        <v>41</v>
      </c>
      <c r="D50" s="12">
        <v>190713</v>
      </c>
      <c r="F50" s="20"/>
      <c r="I50" s="21"/>
    </row>
    <row r="51" spans="1:9" ht="12.75" customHeight="1">
      <c r="A51" s="3">
        <v>36434</v>
      </c>
      <c r="B51" s="1" t="s">
        <v>17</v>
      </c>
      <c r="C51" s="1" t="s">
        <v>41</v>
      </c>
      <c r="D51" s="12">
        <v>39024</v>
      </c>
      <c r="F51" s="20"/>
      <c r="I51" s="21"/>
    </row>
    <row r="52" spans="1:9" ht="12.75" customHeight="1">
      <c r="A52" s="3">
        <v>36434</v>
      </c>
      <c r="B52" s="1" t="s">
        <v>22</v>
      </c>
      <c r="C52" s="1" t="s">
        <v>41</v>
      </c>
      <c r="D52" s="12">
        <v>113</v>
      </c>
      <c r="F52" s="20"/>
      <c r="I52" s="21"/>
    </row>
    <row r="53" spans="1:9" ht="12.75" customHeight="1">
      <c r="A53" s="3">
        <v>36434</v>
      </c>
      <c r="B53" s="1" t="s">
        <v>20</v>
      </c>
      <c r="C53" s="1" t="s">
        <v>41</v>
      </c>
      <c r="D53" s="12">
        <v>21118</v>
      </c>
      <c r="F53" s="20"/>
      <c r="I53" s="21"/>
    </row>
    <row r="54" spans="1:9" ht="12.75" customHeight="1">
      <c r="A54" s="3">
        <v>36434</v>
      </c>
      <c r="B54" s="1" t="s">
        <v>19</v>
      </c>
      <c r="C54" s="1" t="s">
        <v>42</v>
      </c>
      <c r="D54" s="12">
        <v>266185</v>
      </c>
      <c r="F54" s="20"/>
      <c r="I54" s="21"/>
    </row>
    <row r="55" spans="1:9" ht="12.75" customHeight="1">
      <c r="A55" s="3">
        <v>36434</v>
      </c>
      <c r="B55" s="1" t="s">
        <v>17</v>
      </c>
      <c r="C55" s="1" t="s">
        <v>42</v>
      </c>
      <c r="D55" s="12">
        <v>27312</v>
      </c>
      <c r="F55" s="20"/>
      <c r="I55" s="21"/>
    </row>
    <row r="56" spans="1:9" ht="12.75" customHeight="1">
      <c r="A56" s="3">
        <v>36434</v>
      </c>
      <c r="B56" s="1" t="s">
        <v>22</v>
      </c>
      <c r="C56" s="1" t="s">
        <v>42</v>
      </c>
      <c r="D56" s="12">
        <v>127753</v>
      </c>
      <c r="F56" s="20"/>
      <c r="I56" s="21"/>
    </row>
    <row r="57" spans="1:9" ht="12.75" customHeight="1">
      <c r="A57" s="3">
        <v>36434</v>
      </c>
      <c r="B57" s="1" t="s">
        <v>20</v>
      </c>
      <c r="C57" s="1" t="s">
        <v>42</v>
      </c>
      <c r="D57" s="12">
        <v>24801</v>
      </c>
      <c r="F57" s="20"/>
      <c r="I57" s="21"/>
    </row>
    <row r="58" spans="1:9" ht="12.75" customHeight="1">
      <c r="A58" s="3">
        <v>36434</v>
      </c>
      <c r="B58" s="1" t="s">
        <v>19</v>
      </c>
      <c r="C58" s="1" t="s">
        <v>43</v>
      </c>
      <c r="D58" s="12">
        <v>17848</v>
      </c>
      <c r="F58" s="20"/>
      <c r="I58" s="21"/>
    </row>
    <row r="59" spans="1:9" ht="12.75" customHeight="1">
      <c r="A59" s="3">
        <v>36434</v>
      </c>
      <c r="B59" s="1" t="s">
        <v>17</v>
      </c>
      <c r="C59" s="1" t="s">
        <v>43</v>
      </c>
      <c r="D59" s="12">
        <v>58338</v>
      </c>
      <c r="F59" s="20"/>
      <c r="I59" s="21"/>
    </row>
    <row r="60" spans="1:9" ht="12.75" customHeight="1">
      <c r="A60" s="3">
        <v>36434</v>
      </c>
      <c r="B60" s="1" t="s">
        <v>21</v>
      </c>
      <c r="C60" s="1" t="s">
        <v>43</v>
      </c>
      <c r="D60" s="12">
        <v>242158</v>
      </c>
      <c r="F60" s="20"/>
      <c r="I60" s="21"/>
    </row>
    <row r="61" spans="1:9" ht="12.75" customHeight="1">
      <c r="A61" s="3">
        <v>36434</v>
      </c>
      <c r="B61" s="1" t="s">
        <v>22</v>
      </c>
      <c r="C61" s="1" t="s">
        <v>43</v>
      </c>
      <c r="D61" s="12">
        <v>7948</v>
      </c>
      <c r="F61" s="20"/>
      <c r="I61" s="21"/>
    </row>
    <row r="62" spans="1:9" ht="12.75" customHeight="1">
      <c r="A62" s="3">
        <v>36434</v>
      </c>
      <c r="B62" s="1" t="s">
        <v>19</v>
      </c>
      <c r="C62" s="1" t="s">
        <v>44</v>
      </c>
      <c r="D62" s="12">
        <v>132046</v>
      </c>
      <c r="F62" s="20"/>
      <c r="I62" s="21"/>
    </row>
    <row r="63" spans="1:9" ht="12.75" customHeight="1">
      <c r="A63" s="3">
        <v>36434</v>
      </c>
      <c r="B63" s="1" t="s">
        <v>17</v>
      </c>
      <c r="C63" s="1" t="s">
        <v>44</v>
      </c>
      <c r="D63" s="12">
        <v>29565</v>
      </c>
      <c r="F63" s="20"/>
      <c r="I63" s="21"/>
    </row>
    <row r="64" spans="1:9" ht="12.75" customHeight="1">
      <c r="A64" s="3">
        <v>36434</v>
      </c>
      <c r="B64" s="1" t="s">
        <v>21</v>
      </c>
      <c r="C64" s="1" t="s">
        <v>44</v>
      </c>
      <c r="D64" s="12">
        <v>5798</v>
      </c>
      <c r="F64" s="20"/>
      <c r="I64" s="21"/>
    </row>
    <row r="65" spans="1:9" ht="12.75" customHeight="1">
      <c r="A65" s="3">
        <v>36434</v>
      </c>
      <c r="B65" s="1" t="s">
        <v>22</v>
      </c>
      <c r="C65" s="1" t="s">
        <v>44</v>
      </c>
      <c r="D65" s="12">
        <v>7810</v>
      </c>
      <c r="F65" s="20"/>
      <c r="I65" s="21"/>
    </row>
    <row r="66" spans="1:9" ht="12.75" customHeight="1">
      <c r="A66" s="3">
        <v>36465</v>
      </c>
      <c r="B66" s="1" t="s">
        <v>19</v>
      </c>
      <c r="C66" s="1" t="s">
        <v>41</v>
      </c>
      <c r="D66" s="12">
        <v>178692</v>
      </c>
      <c r="F66" s="20"/>
      <c r="I66" s="21"/>
    </row>
    <row r="67" spans="1:9" ht="12.75" customHeight="1">
      <c r="A67" s="3">
        <v>36465</v>
      </c>
      <c r="B67" s="1" t="s">
        <v>17</v>
      </c>
      <c r="C67" s="1" t="s">
        <v>41</v>
      </c>
      <c r="D67" s="12">
        <v>46299</v>
      </c>
      <c r="F67" s="20"/>
      <c r="I67" s="21"/>
    </row>
    <row r="68" spans="1:9" ht="12.75" customHeight="1">
      <c r="A68" s="3">
        <v>36465</v>
      </c>
      <c r="B68" s="1" t="s">
        <v>22</v>
      </c>
      <c r="C68" s="1" t="s">
        <v>41</v>
      </c>
      <c r="D68" s="12">
        <v>158</v>
      </c>
      <c r="F68" s="20"/>
      <c r="I68" s="21"/>
    </row>
    <row r="69" spans="1:9" ht="12.75" customHeight="1">
      <c r="A69" s="3">
        <v>36465</v>
      </c>
      <c r="B69" s="1" t="s">
        <v>20</v>
      </c>
      <c r="C69" s="1" t="s">
        <v>41</v>
      </c>
      <c r="D69" s="12">
        <v>22451</v>
      </c>
      <c r="F69" s="20"/>
      <c r="I69" s="21"/>
    </row>
    <row r="70" spans="1:9" ht="12.75" customHeight="1">
      <c r="A70" s="3">
        <v>36465</v>
      </c>
      <c r="B70" s="1" t="s">
        <v>19</v>
      </c>
      <c r="C70" s="1" t="s">
        <v>42</v>
      </c>
      <c r="D70" s="12">
        <v>232508</v>
      </c>
      <c r="F70" s="20"/>
      <c r="I70" s="21"/>
    </row>
    <row r="71" spans="1:9" ht="12.75" customHeight="1">
      <c r="A71" s="3">
        <v>36465</v>
      </c>
      <c r="B71" s="1" t="s">
        <v>17</v>
      </c>
      <c r="C71" s="1" t="s">
        <v>42</v>
      </c>
      <c r="D71" s="12">
        <v>19841</v>
      </c>
      <c r="F71" s="20"/>
      <c r="I71" s="21"/>
    </row>
    <row r="72" spans="1:9" ht="12.75" customHeight="1">
      <c r="A72" s="3">
        <v>36465</v>
      </c>
      <c r="B72" s="1" t="s">
        <v>22</v>
      </c>
      <c r="C72" s="1" t="s">
        <v>42</v>
      </c>
      <c r="D72" s="12">
        <v>120225</v>
      </c>
      <c r="F72" s="20"/>
      <c r="I72" s="21"/>
    </row>
    <row r="73" spans="1:9" ht="12.75" customHeight="1">
      <c r="A73" s="3">
        <v>36465</v>
      </c>
      <c r="B73" s="1" t="s">
        <v>20</v>
      </c>
      <c r="C73" s="1" t="s">
        <v>42</v>
      </c>
      <c r="D73" s="12">
        <v>39272</v>
      </c>
      <c r="F73" s="20"/>
      <c r="I73" s="21"/>
    </row>
    <row r="74" spans="1:9" ht="12.75" customHeight="1">
      <c r="A74" s="3">
        <v>36465</v>
      </c>
      <c r="B74" s="1" t="s">
        <v>19</v>
      </c>
      <c r="C74" s="1" t="s">
        <v>43</v>
      </c>
      <c r="D74" s="12">
        <v>14931</v>
      </c>
      <c r="F74" s="20"/>
      <c r="I74" s="21"/>
    </row>
    <row r="75" spans="1:9" ht="12.75" customHeight="1">
      <c r="A75" s="3">
        <v>36465</v>
      </c>
      <c r="B75" s="1" t="s">
        <v>17</v>
      </c>
      <c r="C75" s="1" t="s">
        <v>43</v>
      </c>
      <c r="D75" s="12">
        <v>62929</v>
      </c>
      <c r="F75" s="20"/>
      <c r="I75" s="21"/>
    </row>
    <row r="76" spans="1:9" ht="12.75" customHeight="1">
      <c r="A76" s="3">
        <v>36465</v>
      </c>
      <c r="B76" s="1" t="s">
        <v>21</v>
      </c>
      <c r="C76" s="1" t="s">
        <v>43</v>
      </c>
      <c r="D76" s="12">
        <v>247067</v>
      </c>
      <c r="F76" s="20"/>
      <c r="I76" s="21"/>
    </row>
    <row r="77" spans="1:9" ht="12.75" customHeight="1">
      <c r="A77" s="3">
        <v>36465</v>
      </c>
      <c r="B77" s="1" t="s">
        <v>22</v>
      </c>
      <c r="C77" s="1" t="s">
        <v>43</v>
      </c>
      <c r="D77" s="12">
        <v>6880</v>
      </c>
      <c r="F77" s="20"/>
      <c r="I77" s="21"/>
    </row>
    <row r="78" spans="1:9" ht="12.75" customHeight="1">
      <c r="A78" s="3">
        <v>36465</v>
      </c>
      <c r="B78" s="1" t="s">
        <v>19</v>
      </c>
      <c r="C78" s="1" t="s">
        <v>44</v>
      </c>
      <c r="D78" s="12">
        <v>113555</v>
      </c>
      <c r="F78" s="20"/>
      <c r="I78" s="21"/>
    </row>
    <row r="79" spans="1:9" ht="12.75" customHeight="1">
      <c r="A79" s="3">
        <v>36465</v>
      </c>
      <c r="B79" s="1" t="s">
        <v>17</v>
      </c>
      <c r="C79" s="1" t="s">
        <v>44</v>
      </c>
      <c r="D79" s="12">
        <v>28354</v>
      </c>
      <c r="F79" s="20"/>
      <c r="I79" s="21"/>
    </row>
    <row r="80" spans="1:9" ht="12.75" customHeight="1">
      <c r="A80" s="3">
        <v>36465</v>
      </c>
      <c r="B80" s="1" t="s">
        <v>21</v>
      </c>
      <c r="C80" s="1" t="s">
        <v>44</v>
      </c>
      <c r="D80" s="12">
        <v>9833</v>
      </c>
      <c r="F80" s="20"/>
      <c r="I80" s="21"/>
    </row>
    <row r="81" spans="1:9" ht="12.75" customHeight="1">
      <c r="A81" s="3">
        <v>36465</v>
      </c>
      <c r="B81" s="1" t="s">
        <v>22</v>
      </c>
      <c r="C81" s="1" t="s">
        <v>44</v>
      </c>
      <c r="D81" s="12">
        <v>7086</v>
      </c>
      <c r="F81" s="20"/>
      <c r="I81" s="21"/>
    </row>
    <row r="82" spans="1:9" ht="12.75" customHeight="1">
      <c r="A82" s="3">
        <v>36495</v>
      </c>
      <c r="B82" s="1" t="s">
        <v>19</v>
      </c>
      <c r="C82" s="1" t="s">
        <v>41</v>
      </c>
      <c r="D82" s="12">
        <v>204901</v>
      </c>
      <c r="F82" s="20"/>
      <c r="I82" s="21"/>
    </row>
    <row r="83" spans="1:9" ht="12.75" customHeight="1">
      <c r="A83" s="3">
        <v>36495</v>
      </c>
      <c r="B83" s="1" t="s">
        <v>17</v>
      </c>
      <c r="C83" s="1" t="s">
        <v>41</v>
      </c>
      <c r="D83" s="12">
        <v>42326</v>
      </c>
      <c r="F83" s="20"/>
      <c r="I83" s="21"/>
    </row>
    <row r="84" spans="1:9" ht="12.75" customHeight="1">
      <c r="A84" s="3">
        <v>36495</v>
      </c>
      <c r="B84" s="1" t="s">
        <v>22</v>
      </c>
      <c r="C84" s="1" t="s">
        <v>41</v>
      </c>
      <c r="D84" s="12">
        <v>226</v>
      </c>
      <c r="F84" s="20"/>
      <c r="I84" s="21"/>
    </row>
    <row r="85" spans="1:9" ht="12.75" customHeight="1">
      <c r="A85" s="3">
        <v>36495</v>
      </c>
      <c r="B85" s="1" t="s">
        <v>20</v>
      </c>
      <c r="C85" s="1" t="s">
        <v>41</v>
      </c>
      <c r="D85" s="12">
        <v>19833</v>
      </c>
      <c r="F85" s="20"/>
      <c r="I85" s="21"/>
    </row>
    <row r="86" spans="1:9" ht="12.75" customHeight="1">
      <c r="A86" s="3">
        <v>36495</v>
      </c>
      <c r="B86" s="1" t="s">
        <v>19</v>
      </c>
      <c r="C86" s="1" t="s">
        <v>42</v>
      </c>
      <c r="D86" s="12">
        <v>185092</v>
      </c>
      <c r="F86" s="20"/>
      <c r="I86" s="21"/>
    </row>
    <row r="87" spans="1:9" ht="12.75" customHeight="1">
      <c r="A87" s="3">
        <v>36495</v>
      </c>
      <c r="B87" s="1" t="s">
        <v>17</v>
      </c>
      <c r="C87" s="1" t="s">
        <v>42</v>
      </c>
      <c r="D87" s="12">
        <v>34518</v>
      </c>
      <c r="F87" s="20"/>
      <c r="I87" s="21"/>
    </row>
    <row r="88" spans="1:9" ht="12.75" customHeight="1">
      <c r="A88" s="3">
        <v>36495</v>
      </c>
      <c r="B88" s="1" t="s">
        <v>22</v>
      </c>
      <c r="C88" s="1" t="s">
        <v>42</v>
      </c>
      <c r="D88" s="12">
        <v>110102</v>
      </c>
      <c r="F88" s="20"/>
      <c r="I88" s="21"/>
    </row>
    <row r="89" spans="1:9" ht="12.75" customHeight="1">
      <c r="A89" s="3">
        <v>36495</v>
      </c>
      <c r="B89" s="1" t="s">
        <v>20</v>
      </c>
      <c r="C89" s="1" t="s">
        <v>42</v>
      </c>
      <c r="D89" s="12">
        <v>20380</v>
      </c>
      <c r="F89" s="20"/>
      <c r="I89" s="21"/>
    </row>
    <row r="90" spans="1:9" ht="12.75" customHeight="1">
      <c r="A90" s="3">
        <v>36495</v>
      </c>
      <c r="B90" s="1" t="s">
        <v>19</v>
      </c>
      <c r="C90" s="1" t="s">
        <v>43</v>
      </c>
      <c r="D90" s="12">
        <v>12440</v>
      </c>
      <c r="F90" s="20"/>
      <c r="I90" s="21"/>
    </row>
    <row r="91" spans="1:9" ht="12.75" customHeight="1">
      <c r="A91" s="3">
        <v>36495</v>
      </c>
      <c r="B91" s="1" t="s">
        <v>17</v>
      </c>
      <c r="C91" s="1" t="s">
        <v>43</v>
      </c>
      <c r="D91" s="12">
        <v>51480</v>
      </c>
      <c r="F91" s="20"/>
      <c r="I91" s="21"/>
    </row>
    <row r="92" spans="1:9" ht="12.75" customHeight="1">
      <c r="A92" s="3">
        <v>36495</v>
      </c>
      <c r="B92" s="1" t="s">
        <v>21</v>
      </c>
      <c r="C92" s="1" t="s">
        <v>43</v>
      </c>
      <c r="D92" s="12">
        <v>231550</v>
      </c>
      <c r="F92" s="20"/>
      <c r="I92" s="21"/>
    </row>
    <row r="93" spans="1:9" ht="12.75" customHeight="1">
      <c r="A93" s="3">
        <v>36495</v>
      </c>
      <c r="B93" s="1" t="s">
        <v>22</v>
      </c>
      <c r="C93" s="1" t="s">
        <v>43</v>
      </c>
      <c r="D93" s="12">
        <v>6015</v>
      </c>
      <c r="F93" s="20"/>
      <c r="I93" s="21"/>
    </row>
    <row r="94" spans="1:9" ht="12.75" customHeight="1">
      <c r="A94" s="3">
        <v>36495</v>
      </c>
      <c r="B94" s="1" t="s">
        <v>19</v>
      </c>
      <c r="C94" s="1" t="s">
        <v>44</v>
      </c>
      <c r="D94" s="12">
        <v>121068</v>
      </c>
      <c r="F94" s="20"/>
      <c r="I94" s="21"/>
    </row>
    <row r="95" spans="1:9" ht="12.75" customHeight="1">
      <c r="A95" s="3">
        <v>36495</v>
      </c>
      <c r="B95" s="1" t="s">
        <v>17</v>
      </c>
      <c r="C95" s="1" t="s">
        <v>44</v>
      </c>
      <c r="D95" s="12">
        <v>22994</v>
      </c>
      <c r="F95" s="20"/>
      <c r="I95" s="21"/>
    </row>
    <row r="96" spans="1:9" ht="12.75" customHeight="1">
      <c r="A96" s="3">
        <v>36495</v>
      </c>
      <c r="B96" s="1" t="s">
        <v>21</v>
      </c>
      <c r="C96" s="1" t="s">
        <v>44</v>
      </c>
      <c r="D96" s="12">
        <v>8844</v>
      </c>
      <c r="F96" s="20"/>
      <c r="I96" s="21"/>
    </row>
    <row r="97" spans="1:9" ht="12.75" customHeight="1">
      <c r="A97" s="3">
        <v>36495</v>
      </c>
      <c r="B97" s="1" t="s">
        <v>22</v>
      </c>
      <c r="C97" s="1" t="s">
        <v>44</v>
      </c>
      <c r="D97" s="12">
        <v>7953</v>
      </c>
      <c r="F97" s="20"/>
      <c r="I97" s="21"/>
    </row>
    <row r="98" spans="1:9" ht="12.75" customHeight="1">
      <c r="A98" s="1"/>
      <c r="B98" s="1"/>
      <c r="C98" s="1"/>
      <c r="D98" s="1"/>
      <c r="F98" s="20"/>
      <c r="I98" s="21"/>
    </row>
    <row r="99" spans="1:9" ht="12.75" customHeight="1">
      <c r="A99" s="1"/>
      <c r="B99" s="1"/>
      <c r="C99" s="1"/>
      <c r="D99" s="1"/>
      <c r="F99" s="20"/>
      <c r="I99" s="21"/>
    </row>
    <row r="100" spans="1:9" ht="12.75" customHeight="1">
      <c r="A100" s="1"/>
      <c r="B100" s="1"/>
      <c r="C100" s="1"/>
      <c r="D100" s="1"/>
    </row>
    <row r="101" spans="1:9" ht="12.75" customHeight="1">
      <c r="A101" s="1"/>
      <c r="B101" s="1"/>
      <c r="C101" s="1"/>
      <c r="D101" s="1"/>
    </row>
    <row r="102" spans="1:9" ht="12.75" customHeight="1">
      <c r="A102" s="1"/>
      <c r="B102" s="1"/>
      <c r="C102" s="1"/>
      <c r="D102" s="1"/>
    </row>
    <row r="103" spans="1:9" ht="12.75" customHeight="1">
      <c r="A103" s="1"/>
      <c r="B103" s="1"/>
      <c r="C103" s="1"/>
      <c r="D103" s="1"/>
    </row>
    <row r="104" spans="1:9" ht="12.75" customHeight="1">
      <c r="A104" s="1"/>
      <c r="B104" s="1"/>
      <c r="C104" s="1"/>
      <c r="D104" s="2"/>
    </row>
    <row r="105" spans="1:9" ht="12.75" customHeight="1">
      <c r="A105" s="1"/>
      <c r="B105" s="1"/>
      <c r="C105" s="1"/>
      <c r="D105" s="2"/>
    </row>
    <row r="106" spans="1:9" ht="12.75" customHeight="1">
      <c r="A106" s="1"/>
      <c r="B106" s="1"/>
      <c r="C106" s="1"/>
      <c r="D106" s="2"/>
    </row>
    <row r="107" spans="1:9" ht="12.75" customHeight="1">
      <c r="A107" s="1"/>
      <c r="B107" s="1"/>
      <c r="C107" s="1"/>
      <c r="D107" s="2"/>
    </row>
    <row r="108" spans="1:9" ht="12.75" customHeight="1">
      <c r="A108" s="1"/>
      <c r="B108" s="1"/>
      <c r="C108" s="1"/>
      <c r="D108" s="2"/>
    </row>
    <row r="109" spans="1:9" ht="12.75" customHeight="1">
      <c r="A109" s="1"/>
      <c r="B109" s="1"/>
      <c r="C109" s="1"/>
      <c r="D109" s="2"/>
    </row>
    <row r="110" spans="1:9" ht="12.75" customHeight="1">
      <c r="A110" s="1"/>
      <c r="B110" s="1"/>
      <c r="C110" s="1"/>
      <c r="D110" s="2"/>
    </row>
    <row r="111" spans="1:9" ht="12.75" customHeight="1">
      <c r="A111" s="1"/>
      <c r="B111" s="1"/>
      <c r="C111" s="1"/>
      <c r="D111" s="2"/>
    </row>
    <row r="112" spans="1:9" ht="12.75" customHeight="1">
      <c r="A112" s="1"/>
      <c r="B112" s="1"/>
      <c r="C112" s="1"/>
      <c r="D112" s="2"/>
    </row>
    <row r="113" spans="1:4" ht="12.75" customHeight="1">
      <c r="A113" s="1"/>
      <c r="B113" s="1"/>
      <c r="C113" s="1"/>
      <c r="D113" s="2"/>
    </row>
    <row r="114" spans="1:4" ht="12.75" customHeight="1">
      <c r="A114" s="1"/>
      <c r="B114" s="1"/>
      <c r="C114" s="1"/>
      <c r="D114" s="2"/>
    </row>
    <row r="115" spans="1:4" ht="12.75" customHeight="1">
      <c r="A115" s="1"/>
      <c r="B115" s="1"/>
      <c r="C115" s="1"/>
      <c r="D115" s="2"/>
    </row>
    <row r="116" spans="1:4" ht="12.75" customHeight="1">
      <c r="A116" s="1"/>
      <c r="B116" s="1"/>
      <c r="C116" s="1"/>
      <c r="D116" s="2"/>
    </row>
    <row r="117" spans="1:4" ht="12.75" customHeight="1">
      <c r="A117" s="1"/>
      <c r="B117" s="1"/>
      <c r="C117" s="1"/>
      <c r="D117" s="2"/>
    </row>
    <row r="118" spans="1:4" ht="12.75" customHeight="1">
      <c r="A118" s="1"/>
      <c r="B118" s="1"/>
      <c r="C118" s="1"/>
      <c r="D118" s="2"/>
    </row>
    <row r="119" spans="1:4" ht="12.75" customHeight="1">
      <c r="A119" s="1"/>
      <c r="B119" s="1"/>
      <c r="C119" s="1"/>
      <c r="D119" s="2"/>
    </row>
    <row r="120" spans="1:4" ht="12.75" customHeight="1">
      <c r="A120" s="1"/>
      <c r="B120" s="1"/>
      <c r="C120" s="1"/>
      <c r="D120" s="2"/>
    </row>
    <row r="121" spans="1:4" ht="12.75" customHeight="1">
      <c r="A121" s="1"/>
      <c r="B121" s="1"/>
      <c r="C121" s="1"/>
      <c r="D121" s="2"/>
    </row>
    <row r="122" spans="1:4" ht="12.75" customHeight="1">
      <c r="A122" s="1"/>
      <c r="B122" s="1"/>
      <c r="C122" s="1"/>
      <c r="D122" s="2"/>
    </row>
    <row r="123" spans="1:4" ht="12.75" customHeight="1">
      <c r="A123" s="1"/>
      <c r="B123" s="1"/>
      <c r="C123" s="1"/>
      <c r="D123" s="2"/>
    </row>
    <row r="124" spans="1:4" ht="12.75" customHeight="1">
      <c r="A124" s="1"/>
      <c r="B124" s="1"/>
      <c r="C124" s="1"/>
      <c r="D124" s="2"/>
    </row>
    <row r="125" spans="1:4" ht="12.75" customHeight="1">
      <c r="A125" s="1"/>
      <c r="B125" s="1"/>
      <c r="C125" s="1"/>
      <c r="D125" s="2"/>
    </row>
    <row r="126" spans="1:4" ht="12.75" customHeight="1">
      <c r="A126" s="1"/>
      <c r="B126" s="1"/>
      <c r="C126" s="1"/>
      <c r="D126" s="2"/>
    </row>
    <row r="127" spans="1:4" ht="12.75" customHeight="1">
      <c r="A127" s="1"/>
      <c r="B127" s="1"/>
      <c r="C127" s="1"/>
      <c r="D127" s="2"/>
    </row>
    <row r="128" spans="1:4" ht="12.75" customHeight="1">
      <c r="A128" s="1"/>
      <c r="B128" s="1"/>
      <c r="C128" s="1"/>
      <c r="D128" s="2"/>
    </row>
    <row r="129" spans="1:4" ht="12.75" customHeight="1">
      <c r="A129" s="1"/>
      <c r="B129" s="1"/>
      <c r="C129" s="1"/>
      <c r="D129" s="2"/>
    </row>
    <row r="130" spans="1:4" ht="12.75" customHeight="1">
      <c r="A130" s="1"/>
      <c r="B130" s="1"/>
      <c r="C130" s="1"/>
      <c r="D130" s="2"/>
    </row>
    <row r="131" spans="1:4" ht="12.75" customHeight="1">
      <c r="A131" s="1"/>
      <c r="B131" s="1"/>
      <c r="C131" s="1"/>
      <c r="D131" s="2"/>
    </row>
    <row r="132" spans="1:4" ht="12.75" customHeight="1">
      <c r="A132" s="1"/>
      <c r="B132" s="1"/>
      <c r="C132" s="1"/>
      <c r="D132" s="2"/>
    </row>
    <row r="133" spans="1:4" ht="12.75" customHeight="1">
      <c r="A133" s="1"/>
      <c r="B133" s="1"/>
      <c r="C133" s="1"/>
      <c r="D133" s="2"/>
    </row>
    <row r="134" spans="1:4" ht="12.75" customHeight="1">
      <c r="A134" s="1"/>
      <c r="B134" s="1"/>
      <c r="C134" s="1"/>
      <c r="D134" s="2"/>
    </row>
    <row r="135" spans="1:4" ht="12.75" customHeight="1">
      <c r="A135" s="1"/>
      <c r="B135" s="1"/>
      <c r="C135" s="1"/>
      <c r="D135" s="2"/>
    </row>
    <row r="136" spans="1:4" ht="12.75" customHeight="1">
      <c r="A136" s="1"/>
      <c r="B136" s="1"/>
      <c r="C136" s="1"/>
      <c r="D136" s="2"/>
    </row>
    <row r="137" spans="1:4" ht="12.75" customHeight="1">
      <c r="A137" s="1"/>
      <c r="B137" s="1"/>
      <c r="C137" s="1"/>
      <c r="D137" s="2"/>
    </row>
    <row r="138" spans="1:4" ht="12.75" customHeight="1">
      <c r="A138" s="1"/>
      <c r="B138" s="1"/>
      <c r="C138" s="1"/>
      <c r="D138" s="2"/>
    </row>
    <row r="139" spans="1:4" ht="12.75" customHeight="1">
      <c r="A139" s="1"/>
      <c r="B139" s="1"/>
      <c r="C139" s="1"/>
      <c r="D139" s="2"/>
    </row>
    <row r="140" spans="1:4" ht="12.75" customHeight="1">
      <c r="A140" s="1"/>
      <c r="B140" s="1"/>
      <c r="C140" s="1"/>
      <c r="D140" s="2"/>
    </row>
    <row r="141" spans="1:4" ht="12.75" customHeight="1">
      <c r="A141" s="1"/>
      <c r="B141" s="1"/>
      <c r="C141" s="1"/>
      <c r="D141" s="2"/>
    </row>
    <row r="142" spans="1:4" ht="12.75" customHeight="1">
      <c r="A142" s="1"/>
      <c r="B142" s="1"/>
      <c r="C142" s="1"/>
      <c r="D142" s="2"/>
    </row>
    <row r="143" spans="1:4" ht="12.75" customHeight="1">
      <c r="A143" s="1"/>
      <c r="B143" s="1"/>
      <c r="C143" s="1"/>
      <c r="D143" s="2"/>
    </row>
    <row r="144" spans="1:4" ht="12.75" customHeight="1">
      <c r="A144" s="1"/>
      <c r="B144" s="1"/>
      <c r="C144" s="1"/>
      <c r="D144" s="2"/>
    </row>
    <row r="145" spans="1:4" ht="12.75" customHeight="1">
      <c r="A145" s="1"/>
      <c r="B145" s="1"/>
      <c r="C145" s="1"/>
      <c r="D145" s="2"/>
    </row>
    <row r="146" spans="1:4" ht="12.75" customHeight="1">
      <c r="A146" s="1"/>
      <c r="B146" s="1"/>
      <c r="C146" s="1"/>
      <c r="D146" s="2"/>
    </row>
    <row r="147" spans="1:4" ht="12.75" customHeight="1">
      <c r="A147" s="1"/>
      <c r="B147" s="1"/>
      <c r="C147" s="1"/>
      <c r="D147" s="2"/>
    </row>
    <row r="148" spans="1:4" ht="12.75" customHeight="1">
      <c r="A148" s="1"/>
      <c r="B148" s="1"/>
      <c r="C148" s="1"/>
      <c r="D148" s="2"/>
    </row>
    <row r="149" spans="1:4" ht="12.75" customHeight="1">
      <c r="A149" s="1"/>
      <c r="B149" s="1"/>
      <c r="C149" s="1"/>
      <c r="D149" s="2"/>
    </row>
    <row r="150" spans="1:4" ht="12.75" customHeight="1">
      <c r="A150" s="1"/>
      <c r="B150" s="1"/>
      <c r="C150" s="1"/>
      <c r="D150" s="2"/>
    </row>
    <row r="151" spans="1:4" ht="12.75" customHeight="1">
      <c r="A151" s="1"/>
      <c r="B151" s="1"/>
      <c r="C151" s="1"/>
      <c r="D151" s="2"/>
    </row>
    <row r="152" spans="1:4" ht="12.75" customHeight="1">
      <c r="A152" s="1"/>
      <c r="B152" s="1"/>
      <c r="C152" s="1"/>
      <c r="D152" s="2"/>
    </row>
    <row r="153" spans="1:4" ht="12.75" customHeight="1">
      <c r="A153" s="1"/>
      <c r="B153" s="1"/>
      <c r="C153" s="1"/>
      <c r="D153" s="2"/>
    </row>
    <row r="154" spans="1:4" ht="12.75" customHeight="1">
      <c r="A154" s="1"/>
      <c r="B154" s="1"/>
      <c r="C154" s="1"/>
      <c r="D154" s="2"/>
    </row>
    <row r="155" spans="1:4" ht="12.75" customHeight="1">
      <c r="A155" s="1"/>
      <c r="B155" s="1"/>
      <c r="C155" s="1"/>
      <c r="D155" s="2"/>
    </row>
    <row r="156" spans="1:4" ht="12.75" customHeight="1">
      <c r="A156" s="1"/>
      <c r="B156" s="1"/>
      <c r="C156" s="1"/>
      <c r="D156" s="2"/>
    </row>
    <row r="157" spans="1:4" ht="12.75" customHeight="1">
      <c r="A157" s="1"/>
      <c r="B157" s="1"/>
      <c r="C157" s="1"/>
      <c r="D157" s="2"/>
    </row>
    <row r="158" spans="1:4" ht="12.75" customHeight="1">
      <c r="A158" s="1"/>
      <c r="B158" s="1"/>
      <c r="C158" s="1"/>
      <c r="D158" s="2"/>
    </row>
    <row r="159" spans="1:4" ht="12.75" customHeight="1">
      <c r="A159" s="1"/>
      <c r="B159" s="1"/>
      <c r="C159" s="1"/>
      <c r="D159" s="2"/>
    </row>
    <row r="160" spans="1:4" ht="12.75" customHeight="1">
      <c r="A160" s="1"/>
      <c r="B160" s="1"/>
      <c r="C160" s="1"/>
      <c r="D160" s="2"/>
    </row>
    <row r="161" spans="1:4" ht="12.75" customHeight="1">
      <c r="A161" s="1"/>
      <c r="B161" s="1"/>
      <c r="C161" s="1"/>
      <c r="D161" s="2"/>
    </row>
    <row r="162" spans="1:4" ht="12.75" customHeight="1">
      <c r="A162" s="1"/>
      <c r="B162" s="1"/>
      <c r="C162" s="1"/>
      <c r="D162" s="2"/>
    </row>
    <row r="163" spans="1:4" ht="12.75" customHeight="1">
      <c r="A163" s="1"/>
      <c r="B163" s="1"/>
      <c r="C163" s="1"/>
      <c r="D163" s="2"/>
    </row>
    <row r="164" spans="1:4" ht="12.75" customHeight="1">
      <c r="A164" s="1"/>
      <c r="B164" s="1"/>
      <c r="C164" s="1"/>
      <c r="D164" s="2"/>
    </row>
    <row r="165" spans="1:4" ht="12.75" customHeight="1">
      <c r="A165" s="1"/>
      <c r="B165" s="1"/>
      <c r="C165" s="1"/>
      <c r="D165" s="2"/>
    </row>
    <row r="166" spans="1:4" ht="12.75" customHeight="1">
      <c r="A166" s="1"/>
      <c r="B166" s="1"/>
      <c r="C166" s="1"/>
      <c r="D166" s="2"/>
    </row>
    <row r="167" spans="1:4" ht="12.75" customHeight="1">
      <c r="A167" s="1"/>
      <c r="B167" s="1"/>
      <c r="C167" s="1"/>
      <c r="D167" s="2"/>
    </row>
    <row r="168" spans="1:4" ht="12.75" customHeight="1">
      <c r="A168" s="1"/>
      <c r="B168" s="1"/>
      <c r="C168" s="1"/>
      <c r="D168" s="2"/>
    </row>
    <row r="169" spans="1:4" ht="12.75" customHeight="1">
      <c r="A169" s="1"/>
      <c r="B169" s="1"/>
      <c r="C169" s="1"/>
      <c r="D169" s="2"/>
    </row>
    <row r="170" spans="1:4" ht="12.75" customHeight="1">
      <c r="A170" s="1"/>
      <c r="B170" s="1"/>
      <c r="C170" s="1"/>
      <c r="D170" s="2"/>
    </row>
    <row r="171" spans="1:4" ht="12.75" customHeight="1">
      <c r="A171" s="1"/>
      <c r="B171" s="1"/>
      <c r="C171" s="1"/>
      <c r="D171" s="2"/>
    </row>
    <row r="172" spans="1:4" ht="12.75" customHeight="1">
      <c r="A172" s="1"/>
      <c r="B172" s="1"/>
      <c r="C172" s="1"/>
      <c r="D172" s="2"/>
    </row>
    <row r="173" spans="1:4" ht="12.75" customHeight="1">
      <c r="A173" s="1"/>
      <c r="B173" s="1"/>
      <c r="C173" s="1"/>
      <c r="D173" s="2"/>
    </row>
    <row r="174" spans="1:4" ht="12.75" customHeight="1">
      <c r="A174" s="1"/>
      <c r="B174" s="1"/>
      <c r="C174" s="1"/>
      <c r="D174" s="2"/>
    </row>
    <row r="175" spans="1:4" ht="12.75" customHeight="1">
      <c r="A175" s="1"/>
      <c r="B175" s="1"/>
      <c r="C175" s="1"/>
      <c r="D175" s="2"/>
    </row>
    <row r="176" spans="1:4" ht="12.75" customHeight="1">
      <c r="A176" s="1"/>
      <c r="B176" s="1"/>
      <c r="C176" s="1"/>
      <c r="D176" s="2"/>
    </row>
    <row r="177" spans="1:4" ht="12.75" customHeight="1">
      <c r="A177" s="1"/>
      <c r="B177" s="1"/>
      <c r="C177" s="1"/>
      <c r="D177" s="2"/>
    </row>
    <row r="178" spans="1:4" ht="12.75" customHeight="1">
      <c r="A178" s="1"/>
      <c r="B178" s="1"/>
      <c r="C178" s="1"/>
      <c r="D178" s="2"/>
    </row>
    <row r="179" spans="1:4" ht="12.75" customHeight="1">
      <c r="A179" s="1"/>
      <c r="B179" s="1"/>
      <c r="C179" s="1"/>
      <c r="D179" s="2"/>
    </row>
    <row r="180" spans="1:4" ht="12.75" customHeight="1">
      <c r="A180" s="1"/>
      <c r="B180" s="1"/>
      <c r="C180" s="1"/>
      <c r="D180" s="2"/>
    </row>
    <row r="181" spans="1:4" ht="12.75" customHeight="1">
      <c r="A181" s="1"/>
      <c r="B181" s="1"/>
      <c r="C181" s="1"/>
      <c r="D181" s="2"/>
    </row>
    <row r="182" spans="1:4" ht="12.75" customHeight="1">
      <c r="A182" s="1"/>
      <c r="B182" s="1"/>
      <c r="C182" s="1"/>
      <c r="D182" s="2"/>
    </row>
    <row r="183" spans="1:4" ht="12.75" customHeight="1">
      <c r="A183" s="1"/>
      <c r="B183" s="1"/>
      <c r="C183" s="1"/>
      <c r="D183" s="2"/>
    </row>
    <row r="184" spans="1:4" ht="12.75" customHeight="1">
      <c r="A184" s="1"/>
      <c r="B184" s="1"/>
      <c r="C184" s="1"/>
      <c r="D184" s="2"/>
    </row>
    <row r="185" spans="1:4" ht="12.75" customHeight="1">
      <c r="A185" s="1"/>
      <c r="B185" s="1"/>
      <c r="C185" s="1"/>
      <c r="D185" s="2"/>
    </row>
    <row r="186" spans="1:4" ht="12.75" customHeight="1">
      <c r="A186" s="1"/>
      <c r="B186" s="1"/>
      <c r="C186" s="1"/>
      <c r="D186" s="2"/>
    </row>
    <row r="187" spans="1:4" ht="12.75" customHeight="1">
      <c r="A187" s="1"/>
      <c r="B187" s="1"/>
      <c r="C187" s="1"/>
      <c r="D187" s="2"/>
    </row>
    <row r="188" spans="1:4" ht="12.75" customHeight="1">
      <c r="A188" s="1"/>
      <c r="B188" s="1"/>
      <c r="C188" s="1"/>
      <c r="D188" s="2"/>
    </row>
    <row r="189" spans="1:4" ht="12.75" customHeight="1">
      <c r="A189" s="1"/>
      <c r="B189" s="1"/>
      <c r="C189" s="1"/>
      <c r="D189" s="2"/>
    </row>
    <row r="190" spans="1:4" ht="12.75" customHeight="1">
      <c r="A190" s="1"/>
      <c r="B190" s="1"/>
      <c r="C190" s="1"/>
      <c r="D190" s="2"/>
    </row>
    <row r="191" spans="1:4" ht="12.75" customHeight="1">
      <c r="A191" s="1"/>
      <c r="B191" s="1"/>
      <c r="C191" s="1"/>
      <c r="D191" s="2"/>
    </row>
    <row r="192" spans="1:4" ht="12.75" customHeight="1">
      <c r="A192" s="1"/>
      <c r="B192" s="1"/>
      <c r="C192" s="1"/>
      <c r="D192" s="2"/>
    </row>
    <row r="193" spans="1:4" ht="12.75" customHeight="1">
      <c r="A193" s="1"/>
      <c r="B193" s="1"/>
      <c r="C193" s="1"/>
      <c r="D193" s="2"/>
    </row>
    <row r="194" spans="1:4" ht="12.75" customHeight="1">
      <c r="A194" s="1"/>
      <c r="B194" s="1"/>
      <c r="C194" s="1"/>
      <c r="D194" s="2"/>
    </row>
    <row r="195" spans="1:4" ht="12.75" customHeight="1">
      <c r="A195" s="1"/>
      <c r="B195" s="1"/>
      <c r="C195" s="1"/>
      <c r="D195" s="2"/>
    </row>
    <row r="196" spans="1:4" ht="12.75" customHeight="1">
      <c r="A196" s="1"/>
      <c r="B196" s="1"/>
      <c r="C196" s="1"/>
      <c r="D196" s="2"/>
    </row>
    <row r="197" spans="1:4" ht="12.75" customHeight="1">
      <c r="A197" s="1"/>
      <c r="B197" s="1"/>
      <c r="C197" s="1"/>
      <c r="D197" s="2"/>
    </row>
    <row r="198" spans="1:4" ht="12.75" customHeight="1">
      <c r="A198" s="1"/>
      <c r="B198" s="1"/>
      <c r="C198" s="1"/>
      <c r="D198" s="2"/>
    </row>
    <row r="199" spans="1:4" ht="12.75" customHeight="1">
      <c r="A199" s="1"/>
      <c r="B199" s="1"/>
      <c r="C199" s="1"/>
      <c r="D199" s="2"/>
    </row>
    <row r="200" spans="1:4" ht="12.75" customHeight="1">
      <c r="A200" s="1"/>
      <c r="B200" s="1"/>
      <c r="C200" s="1"/>
      <c r="D200" s="2"/>
    </row>
    <row r="201" spans="1:4" ht="12.75" customHeight="1">
      <c r="A201" s="1"/>
      <c r="B201" s="1"/>
      <c r="C201" s="1"/>
      <c r="D201" s="2"/>
    </row>
    <row r="202" spans="1:4" ht="12.75" customHeight="1">
      <c r="A202" s="1"/>
      <c r="B202" s="1"/>
      <c r="C202" s="1"/>
      <c r="D202" s="2"/>
    </row>
    <row r="203" spans="1:4" ht="12.75" customHeight="1">
      <c r="A203" s="1"/>
      <c r="B203" s="1"/>
      <c r="C203" s="1"/>
      <c r="D203" s="2"/>
    </row>
    <row r="204" spans="1:4" ht="12.75" customHeight="1">
      <c r="A204" s="1"/>
      <c r="B204" s="1"/>
      <c r="C204" s="1"/>
      <c r="D204" s="2"/>
    </row>
    <row r="205" spans="1:4" ht="12.75" customHeight="1">
      <c r="A205" s="1"/>
      <c r="B205" s="1"/>
      <c r="C205" s="1"/>
      <c r="D205" s="2"/>
    </row>
    <row r="206" spans="1:4" ht="12.75" customHeight="1">
      <c r="A206" s="1"/>
      <c r="B206" s="1"/>
      <c r="C206" s="1"/>
      <c r="D206" s="2"/>
    </row>
    <row r="207" spans="1:4" ht="12.75" customHeight="1">
      <c r="A207" s="1"/>
      <c r="B207" s="1"/>
      <c r="C207" s="1"/>
      <c r="D207" s="2"/>
    </row>
    <row r="208" spans="1:4" ht="12.75" customHeight="1">
      <c r="A208" s="1"/>
      <c r="B208" s="1"/>
      <c r="C208" s="1"/>
      <c r="D208" s="2"/>
    </row>
    <row r="209" spans="1:4" ht="12.75" customHeight="1">
      <c r="A209" s="1"/>
      <c r="B209" s="1"/>
      <c r="C209" s="1"/>
      <c r="D209" s="2"/>
    </row>
    <row r="210" spans="1:4" ht="12.75" customHeight="1">
      <c r="A210" s="1"/>
      <c r="B210" s="1"/>
      <c r="C210" s="1"/>
      <c r="D210" s="2"/>
    </row>
    <row r="211" spans="1:4" ht="12.75" customHeight="1">
      <c r="A211" s="1"/>
      <c r="B211" s="1"/>
      <c r="C211" s="1"/>
      <c r="D211" s="2"/>
    </row>
    <row r="212" spans="1:4" ht="12.75" customHeight="1">
      <c r="A212" s="1"/>
      <c r="B212" s="1"/>
      <c r="C212" s="1"/>
      <c r="D212" s="2"/>
    </row>
    <row r="213" spans="1:4" ht="12.75" customHeight="1">
      <c r="A213" s="1"/>
      <c r="B213" s="1"/>
      <c r="C213" s="1"/>
      <c r="D213" s="2"/>
    </row>
    <row r="214" spans="1:4" ht="12.75" customHeight="1">
      <c r="A214" s="1"/>
      <c r="B214" s="1"/>
      <c r="C214" s="1"/>
      <c r="D214" s="2"/>
    </row>
    <row r="215" spans="1:4" ht="12.75" customHeight="1">
      <c r="A215" s="1"/>
      <c r="B215" s="1"/>
      <c r="C215" s="1"/>
      <c r="D215" s="2"/>
    </row>
    <row r="216" spans="1:4" ht="12.75" customHeight="1">
      <c r="A216" s="1"/>
      <c r="B216" s="1"/>
      <c r="C216" s="1"/>
      <c r="D216" s="2"/>
    </row>
    <row r="217" spans="1:4" ht="12.75" customHeight="1">
      <c r="A217" s="1"/>
      <c r="B217" s="1"/>
      <c r="C217" s="1"/>
      <c r="D217" s="2"/>
    </row>
    <row r="218" spans="1:4" ht="12.75" customHeight="1">
      <c r="A218" s="1"/>
      <c r="B218" s="1"/>
      <c r="C218" s="1"/>
      <c r="D218" s="2"/>
    </row>
    <row r="219" spans="1:4" ht="12.75" customHeight="1">
      <c r="A219" s="1"/>
      <c r="B219" s="1"/>
      <c r="C219" s="1"/>
      <c r="D219" s="2"/>
    </row>
    <row r="220" spans="1:4" ht="12.75" customHeight="1">
      <c r="A220" s="1"/>
      <c r="B220" s="1"/>
      <c r="C220" s="1"/>
      <c r="D220" s="2"/>
    </row>
    <row r="221" spans="1:4" ht="12.75" customHeight="1">
      <c r="A221" s="1"/>
      <c r="B221" s="1"/>
      <c r="C221" s="1"/>
      <c r="D221" s="2"/>
    </row>
    <row r="222" spans="1:4" ht="12.75" customHeight="1">
      <c r="A222" s="1"/>
      <c r="B222" s="1"/>
      <c r="C222" s="1"/>
      <c r="D222" s="2"/>
    </row>
    <row r="223" spans="1:4" ht="12.75" customHeight="1">
      <c r="A223" s="1"/>
      <c r="B223" s="1"/>
      <c r="C223" s="1"/>
      <c r="D223" s="2"/>
    </row>
    <row r="224" spans="1:4" ht="12.75" customHeight="1">
      <c r="A224" s="1"/>
      <c r="B224" s="1"/>
      <c r="C224" s="1"/>
      <c r="D224" s="2"/>
    </row>
    <row r="225" spans="1:4" ht="12.75" customHeight="1">
      <c r="A225" s="1"/>
      <c r="B225" s="1"/>
      <c r="C225" s="1"/>
      <c r="D225" s="2"/>
    </row>
    <row r="226" spans="1:4" ht="12.75" customHeight="1">
      <c r="A226" s="1"/>
      <c r="B226" s="1"/>
      <c r="C226" s="1"/>
      <c r="D226" s="2"/>
    </row>
    <row r="227" spans="1:4" ht="12.75" customHeight="1">
      <c r="A227" s="1"/>
      <c r="B227" s="1"/>
      <c r="C227" s="1"/>
      <c r="D227" s="2"/>
    </row>
    <row r="228" spans="1:4" ht="12.75" customHeight="1">
      <c r="A228" s="1"/>
      <c r="B228" s="1"/>
      <c r="C228" s="1"/>
      <c r="D228" s="2"/>
    </row>
    <row r="229" spans="1:4" ht="12.75" customHeight="1">
      <c r="A229" s="1"/>
      <c r="B229" s="1"/>
      <c r="C229" s="1"/>
      <c r="D229" s="2"/>
    </row>
    <row r="230" spans="1:4" ht="12.75" customHeight="1">
      <c r="A230" s="1"/>
      <c r="B230" s="1"/>
      <c r="C230" s="1"/>
      <c r="D230" s="2"/>
    </row>
    <row r="231" spans="1:4" ht="12.75" customHeight="1">
      <c r="A231" s="1"/>
      <c r="B231" s="1"/>
      <c r="C231" s="1"/>
      <c r="D231" s="2"/>
    </row>
    <row r="232" spans="1:4" ht="12.75" customHeight="1">
      <c r="A232" s="1"/>
      <c r="B232" s="1"/>
      <c r="C232" s="1"/>
      <c r="D232" s="2"/>
    </row>
    <row r="233" spans="1:4" ht="12.75" customHeight="1">
      <c r="A233" s="1"/>
      <c r="B233" s="1"/>
      <c r="C233" s="1"/>
      <c r="D233" s="2"/>
    </row>
    <row r="234" spans="1:4" ht="12.75" customHeight="1">
      <c r="A234" s="1"/>
      <c r="B234" s="1"/>
      <c r="C234" s="1"/>
      <c r="D234" s="2"/>
    </row>
    <row r="235" spans="1:4" ht="12.75" customHeight="1">
      <c r="A235" s="1"/>
      <c r="B235" s="1"/>
      <c r="C235" s="1"/>
      <c r="D235" s="2"/>
    </row>
    <row r="236" spans="1:4" ht="12.75" customHeight="1">
      <c r="A236" s="1"/>
      <c r="B236" s="1"/>
      <c r="C236" s="1"/>
      <c r="D236" s="2"/>
    </row>
    <row r="237" spans="1:4" ht="12.75" customHeight="1">
      <c r="A237" s="1"/>
      <c r="B237" s="1"/>
      <c r="C237" s="1"/>
      <c r="D237" s="2"/>
    </row>
    <row r="238" spans="1:4" ht="12.75" customHeight="1">
      <c r="A238" s="1"/>
      <c r="B238" s="1"/>
      <c r="C238" s="1"/>
      <c r="D238" s="2"/>
    </row>
    <row r="239" spans="1:4" ht="12.75" customHeight="1">
      <c r="A239" s="1"/>
      <c r="B239" s="1"/>
      <c r="C239" s="1"/>
      <c r="D239" s="2"/>
    </row>
    <row r="240" spans="1:4" ht="12.75" customHeight="1">
      <c r="A240" s="1"/>
      <c r="B240" s="1"/>
      <c r="C240" s="1"/>
      <c r="D240" s="2"/>
    </row>
    <row r="241" spans="1:4" ht="12.75" customHeight="1">
      <c r="A241" s="1"/>
      <c r="B241" s="1"/>
      <c r="C241" s="1"/>
      <c r="D241" s="2"/>
    </row>
    <row r="242" spans="1:4" ht="12.75" customHeight="1">
      <c r="A242" s="1"/>
      <c r="B242" s="1"/>
      <c r="C242" s="1"/>
      <c r="D242" s="1"/>
    </row>
    <row r="243" spans="1:4" ht="12.75" customHeight="1">
      <c r="A243" s="1"/>
      <c r="B243" s="1"/>
      <c r="C243" s="1"/>
      <c r="D243" s="1"/>
    </row>
    <row r="244" spans="1:4" ht="12.75" customHeight="1">
      <c r="A244" s="1"/>
      <c r="B244" s="1"/>
      <c r="C244" s="1"/>
      <c r="D244" s="1"/>
    </row>
    <row r="245" spans="1:4" ht="12.75" customHeight="1">
      <c r="B245" s="1"/>
      <c r="C245" s="1"/>
      <c r="D245" s="1"/>
    </row>
    <row r="246" spans="1:4" ht="12.75" customHeight="1">
      <c r="A246" s="1"/>
      <c r="B246" s="1"/>
      <c r="C246" s="1"/>
      <c r="D246" s="1"/>
    </row>
    <row r="247" spans="1:4" ht="12.75" customHeight="1">
      <c r="B247" s="1"/>
      <c r="C247" s="1"/>
      <c r="D247" s="1"/>
    </row>
    <row r="248" spans="1:4" ht="12.75" customHeight="1">
      <c r="A248" s="1"/>
      <c r="B248" s="1"/>
      <c r="C248" s="1"/>
      <c r="D248" s="1"/>
    </row>
    <row r="249" spans="1:4" ht="12.75" customHeight="1">
      <c r="B249" s="1"/>
      <c r="C249" s="1"/>
      <c r="D249" s="1"/>
    </row>
    <row r="250" spans="1:4" ht="12.75" customHeight="1">
      <c r="B250" s="1"/>
      <c r="C250" s="1"/>
      <c r="D250" s="1"/>
    </row>
    <row r="251" spans="1:4" ht="12.75" customHeight="1">
      <c r="B251" s="1"/>
      <c r="C251" s="1"/>
    </row>
    <row r="252" spans="1:4" ht="12.75" customHeight="1">
      <c r="B252" s="1"/>
      <c r="C252" s="1"/>
    </row>
    <row r="253" spans="1:4" ht="12.75" customHeight="1">
      <c r="B253" s="1"/>
      <c r="C253" s="1"/>
    </row>
    <row r="257" spans="1:4" ht="12.75" customHeight="1">
      <c r="A257" s="1"/>
    </row>
    <row r="258" spans="1:4" ht="12.75" customHeight="1">
      <c r="A258" s="1"/>
    </row>
    <row r="259" spans="1:4" ht="12.75" customHeight="1">
      <c r="A259" s="1"/>
    </row>
    <row r="260" spans="1:4" ht="12.75" customHeight="1">
      <c r="A260" s="1"/>
      <c r="B260" s="1"/>
      <c r="C260" s="1"/>
      <c r="D260" s="1"/>
    </row>
    <row r="261" spans="1:4" ht="12.75" customHeight="1">
      <c r="A261" s="1"/>
    </row>
    <row r="262" spans="1:4" ht="12.75" customHeight="1">
      <c r="A262" s="1"/>
    </row>
    <row r="263" spans="1:4" ht="12.75" customHeight="1">
      <c r="A263" s="1"/>
    </row>
    <row r="264" spans="1:4" ht="12.75" customHeight="1">
      <c r="A264" s="1"/>
      <c r="B264" s="1"/>
      <c r="C264" s="1"/>
      <c r="D264" s="1"/>
    </row>
    <row r="265" spans="1:4" ht="12.75" customHeight="1">
      <c r="A265" s="1"/>
    </row>
    <row r="266" spans="1:4" ht="12.75" customHeight="1">
      <c r="A266" s="1"/>
    </row>
    <row r="267" spans="1:4" ht="12.75" customHeight="1">
      <c r="A267" s="1"/>
    </row>
    <row r="268" spans="1:4" ht="12.75" customHeight="1">
      <c r="A268" s="1"/>
      <c r="B268" s="1"/>
      <c r="C268" s="1"/>
      <c r="D268" s="1"/>
    </row>
    <row r="269" spans="1:4" ht="12.75" customHeight="1">
      <c r="A269" s="1"/>
    </row>
    <row r="270" spans="1:4" ht="12.75" customHeight="1">
      <c r="A270" s="1"/>
    </row>
    <row r="271" spans="1:4" ht="12.75" customHeight="1">
      <c r="A271" s="1"/>
    </row>
    <row r="272" spans="1:4" ht="12.75" customHeight="1">
      <c r="A272" s="1"/>
    </row>
    <row r="273" spans="1:4" ht="12.75" customHeight="1">
      <c r="A273" s="1"/>
    </row>
    <row r="274" spans="1:4" ht="12.75" customHeight="1">
      <c r="A274" s="1"/>
    </row>
    <row r="275" spans="1:4" ht="12.75" customHeight="1">
      <c r="A275" s="1"/>
      <c r="B275" s="1"/>
      <c r="C275" s="1"/>
      <c r="D275" s="1"/>
    </row>
    <row r="276" spans="1:4" ht="12.75" customHeight="1">
      <c r="A276" s="1"/>
      <c r="C276" s="1"/>
    </row>
    <row r="277" spans="1:4" ht="12.75" customHeight="1">
      <c r="A277" s="1"/>
      <c r="C277" s="1"/>
    </row>
    <row r="278" spans="1:4" ht="12.75" customHeight="1">
      <c r="A278" s="1"/>
      <c r="C278" s="1"/>
    </row>
    <row r="279" spans="1:4" ht="12.75" customHeight="1">
      <c r="A279" s="1"/>
      <c r="C279" s="1"/>
    </row>
    <row r="280" spans="1:4" ht="12.75" customHeight="1">
      <c r="A280" s="1"/>
      <c r="C280" s="1"/>
    </row>
    <row r="281" spans="1:4" ht="12.75" customHeight="1">
      <c r="A281" s="1"/>
      <c r="C281" s="1"/>
    </row>
    <row r="282" spans="1:4" ht="12.75" customHeight="1">
      <c r="A282" s="1"/>
      <c r="C282" s="1"/>
    </row>
    <row r="283" spans="1:4" ht="12.75" customHeight="1">
      <c r="A283" s="1"/>
      <c r="C283" s="1"/>
    </row>
    <row r="284" spans="1:4" ht="12.75" customHeight="1">
      <c r="A284" s="1"/>
      <c r="C284" s="1"/>
    </row>
    <row r="285" spans="1:4" ht="12.75" customHeight="1">
      <c r="A285" s="1"/>
      <c r="C285" s="1"/>
    </row>
    <row r="286" spans="1:4" ht="12.75" customHeight="1">
      <c r="A286" s="1"/>
      <c r="C286" s="1"/>
    </row>
    <row r="287" spans="1:4" ht="12.75" customHeight="1">
      <c r="A287" s="1"/>
      <c r="C287" s="1"/>
    </row>
    <row r="288" spans="1:4" ht="12.75" customHeight="1">
      <c r="A288" s="1"/>
    </row>
    <row r="289" spans="1:4" ht="12.75" customHeight="1">
      <c r="A289" s="1"/>
    </row>
    <row r="290" spans="1:4" ht="12.75" customHeight="1">
      <c r="A290" s="1"/>
    </row>
    <row r="291" spans="1:4" ht="12.75" customHeight="1">
      <c r="A291" s="1"/>
    </row>
    <row r="292" spans="1:4" ht="12.75" customHeight="1">
      <c r="A292" s="1"/>
    </row>
    <row r="293" spans="1:4" ht="12.75" customHeight="1">
      <c r="A293" s="1"/>
    </row>
    <row r="294" spans="1:4" ht="12.75" customHeight="1">
      <c r="A294" s="1"/>
      <c r="B294" s="1"/>
      <c r="C294" s="1"/>
      <c r="D294" s="1"/>
    </row>
    <row r="295" spans="1:4" ht="12.75" customHeight="1">
      <c r="A295" s="1"/>
    </row>
    <row r="296" spans="1:4" ht="12.75" customHeight="1">
      <c r="A296" s="1"/>
    </row>
    <row r="297" spans="1:4" ht="12.75" customHeight="1">
      <c r="A297" s="1"/>
    </row>
    <row r="298" spans="1:4" ht="12.75" customHeight="1">
      <c r="A298" s="1"/>
      <c r="B298" s="1"/>
      <c r="C298" s="1"/>
      <c r="D298" s="1"/>
    </row>
    <row r="299" spans="1:4" ht="12.75" customHeight="1">
      <c r="A299" s="1"/>
    </row>
    <row r="300" spans="1:4" ht="12.75" customHeight="1">
      <c r="A300" s="1"/>
    </row>
    <row r="301" spans="1:4" ht="12.75" customHeight="1">
      <c r="A301" s="1"/>
    </row>
    <row r="302" spans="1:4" ht="12.75" customHeight="1">
      <c r="A302" s="1"/>
      <c r="B302" s="1"/>
      <c r="C302" s="1"/>
      <c r="D302" s="1"/>
    </row>
    <row r="303" spans="1:4" ht="12.75" customHeight="1">
      <c r="A303" s="1"/>
    </row>
    <row r="304" spans="1:4" ht="12.75" customHeight="1">
      <c r="A304" s="1"/>
    </row>
    <row r="305" spans="1:4" ht="12.75" customHeight="1">
      <c r="A305" s="1"/>
    </row>
    <row r="306" spans="1:4" ht="12.75" customHeight="1">
      <c r="A306" s="1"/>
      <c r="B306" s="1"/>
      <c r="C306" s="1"/>
      <c r="D306" s="1"/>
    </row>
    <row r="307" spans="1:4" ht="12.75" customHeight="1">
      <c r="A307" s="1"/>
    </row>
    <row r="308" spans="1:4" ht="12.75" customHeight="1">
      <c r="A308" s="1"/>
    </row>
    <row r="309" spans="1:4" ht="12.75" customHeight="1">
      <c r="A309" s="1"/>
    </row>
    <row r="310" spans="1:4" ht="12.75" customHeight="1">
      <c r="A310" s="1"/>
    </row>
    <row r="311" spans="1:4" ht="12.75" customHeight="1">
      <c r="A311" s="1"/>
    </row>
    <row r="312" spans="1:4" ht="12.75" customHeight="1">
      <c r="A312" s="1"/>
    </row>
    <row r="313" spans="1:4" ht="12.75" customHeight="1">
      <c r="A313" s="1"/>
      <c r="B313" s="1"/>
      <c r="C313" s="1"/>
      <c r="D313" s="1"/>
    </row>
    <row r="314" spans="1:4" ht="12.75" customHeight="1">
      <c r="A314" s="1"/>
      <c r="C314" s="1"/>
    </row>
    <row r="315" spans="1:4" ht="12.75" customHeight="1">
      <c r="A315" s="1"/>
      <c r="C315" s="1"/>
    </row>
    <row r="316" spans="1:4" ht="12.75" customHeight="1">
      <c r="A316" s="1"/>
      <c r="C316" s="1"/>
    </row>
    <row r="317" spans="1:4" ht="12.75" customHeight="1">
      <c r="A317" s="1"/>
      <c r="C317" s="1"/>
    </row>
    <row r="318" spans="1:4" ht="12.75" customHeight="1">
      <c r="A318" s="1"/>
      <c r="C318" s="1"/>
    </row>
    <row r="319" spans="1:4" ht="12.75" customHeight="1">
      <c r="A319" s="1"/>
      <c r="C319" s="1"/>
    </row>
    <row r="320" spans="1:4" ht="12.75" customHeight="1">
      <c r="A320" s="1"/>
      <c r="C320" s="1"/>
    </row>
    <row r="321" spans="1:4" ht="12.75" customHeight="1">
      <c r="A321" s="1"/>
      <c r="C321" s="1"/>
    </row>
    <row r="322" spans="1:4" ht="12.75" customHeight="1">
      <c r="A322" s="1"/>
      <c r="C322" s="1"/>
    </row>
    <row r="323" spans="1:4" ht="12.75" customHeight="1">
      <c r="A323" s="1"/>
      <c r="C323" s="1"/>
    </row>
    <row r="324" spans="1:4" ht="12.75" customHeight="1">
      <c r="A324" s="1"/>
      <c r="C324" s="1"/>
    </row>
    <row r="325" spans="1:4" ht="12.75" customHeight="1">
      <c r="A325" s="1"/>
      <c r="C325" s="1"/>
    </row>
    <row r="326" spans="1:4" ht="12.75" customHeight="1">
      <c r="A326" s="1"/>
    </row>
    <row r="327" spans="1:4" ht="12.75" customHeight="1">
      <c r="A327" s="1"/>
    </row>
    <row r="328" spans="1:4" ht="12.75" customHeight="1">
      <c r="A328" s="1"/>
    </row>
    <row r="329" spans="1:4" ht="12.75" customHeight="1">
      <c r="A329" s="1"/>
    </row>
    <row r="330" spans="1:4" ht="12.75" customHeight="1">
      <c r="A330" s="1"/>
    </row>
    <row r="331" spans="1:4" ht="12.75" customHeight="1">
      <c r="A331" s="1"/>
    </row>
    <row r="332" spans="1:4" ht="12.75" customHeight="1">
      <c r="A332" s="1"/>
      <c r="B332" s="1"/>
      <c r="C332" s="1"/>
      <c r="D332" s="1"/>
    </row>
    <row r="337" spans="1:4" ht="12.75" customHeight="1">
      <c r="A337" s="1"/>
    </row>
    <row r="338" spans="1:4" ht="12.75" customHeight="1">
      <c r="A338" s="1"/>
    </row>
    <row r="339" spans="1:4" ht="12.75" customHeight="1">
      <c r="A339" s="1"/>
    </row>
    <row r="340" spans="1:4" ht="12.75" customHeight="1">
      <c r="A340" s="1"/>
      <c r="B340" s="1"/>
      <c r="C340" s="1"/>
      <c r="D340" s="1"/>
    </row>
    <row r="341" spans="1:4" ht="12.75" customHeight="1">
      <c r="A341" s="1"/>
    </row>
    <row r="342" spans="1:4" ht="12.75" customHeight="1">
      <c r="A342" s="1"/>
    </row>
    <row r="343" spans="1:4" ht="12.75" customHeight="1">
      <c r="A343" s="1"/>
    </row>
    <row r="344" spans="1:4" ht="12.75" customHeight="1">
      <c r="A344" s="1"/>
      <c r="B344" s="1"/>
      <c r="C344" s="1"/>
      <c r="D344" s="1"/>
    </row>
    <row r="345" spans="1:4" ht="12.75" customHeight="1">
      <c r="A345" s="1"/>
    </row>
    <row r="346" spans="1:4" ht="12.75" customHeight="1">
      <c r="A346" s="1"/>
    </row>
    <row r="347" spans="1:4" ht="12.75" customHeight="1">
      <c r="A347" s="1"/>
    </row>
    <row r="348" spans="1:4" ht="12.75" customHeight="1">
      <c r="A348" s="1"/>
      <c r="B348" s="1"/>
      <c r="C348" s="1"/>
      <c r="D348" s="1"/>
    </row>
    <row r="349" spans="1:4" ht="12.75" customHeight="1">
      <c r="A349" s="1"/>
    </row>
    <row r="350" spans="1:4" ht="12.75" customHeight="1">
      <c r="A350" s="1"/>
    </row>
    <row r="351" spans="1:4" ht="12.75" customHeight="1">
      <c r="A351" s="1"/>
    </row>
    <row r="352" spans="1:4" ht="12.75" customHeight="1">
      <c r="A352" s="1"/>
    </row>
    <row r="353" spans="1:4" ht="12.75" customHeight="1">
      <c r="A353" s="1"/>
    </row>
    <row r="354" spans="1:4" ht="12.75" customHeight="1">
      <c r="A354" s="1"/>
    </row>
    <row r="355" spans="1:4" ht="12.75" customHeight="1">
      <c r="A355" s="1"/>
      <c r="B355" s="1"/>
      <c r="C355" s="1"/>
      <c r="D355" s="1"/>
    </row>
    <row r="356" spans="1:4" ht="12.75" customHeight="1">
      <c r="A356" s="1"/>
      <c r="C356" s="1"/>
    </row>
    <row r="357" spans="1:4" ht="12.75" customHeight="1">
      <c r="A357" s="1"/>
      <c r="C357" s="1"/>
    </row>
    <row r="358" spans="1:4" ht="12.75" customHeight="1">
      <c r="A358" s="1"/>
      <c r="C358" s="1"/>
    </row>
    <row r="359" spans="1:4" ht="12.75" customHeight="1">
      <c r="A359" s="1"/>
      <c r="C359" s="1"/>
    </row>
    <row r="360" spans="1:4" ht="12.75" customHeight="1">
      <c r="A360" s="1"/>
      <c r="C360" s="1"/>
    </row>
    <row r="361" spans="1:4" ht="12.75" customHeight="1">
      <c r="A361" s="1"/>
      <c r="C361" s="1"/>
    </row>
    <row r="362" spans="1:4" ht="12.75" customHeight="1">
      <c r="A362" s="1"/>
      <c r="C362" s="1"/>
    </row>
    <row r="363" spans="1:4" ht="12.75" customHeight="1">
      <c r="A363" s="1"/>
      <c r="C363" s="1"/>
    </row>
    <row r="364" spans="1:4" ht="12.75" customHeight="1">
      <c r="A364" s="1"/>
      <c r="C364" s="1"/>
    </row>
    <row r="365" spans="1:4" ht="12.75" customHeight="1">
      <c r="A365" s="1"/>
      <c r="C365" s="1"/>
    </row>
    <row r="366" spans="1:4" ht="12.75" customHeight="1">
      <c r="A366" s="1"/>
      <c r="C366" s="1"/>
    </row>
    <row r="367" spans="1:4" ht="12.75" customHeight="1">
      <c r="A367" s="1"/>
      <c r="C367" s="1"/>
    </row>
    <row r="368" spans="1:4" ht="12.75" customHeight="1">
      <c r="A368" s="1"/>
    </row>
    <row r="369" spans="1:4" ht="12.75" customHeight="1">
      <c r="A369" s="1"/>
    </row>
    <row r="370" spans="1:4" ht="12.75" customHeight="1">
      <c r="A370" s="1"/>
    </row>
    <row r="371" spans="1:4" ht="12.75" customHeight="1">
      <c r="A371" s="1"/>
    </row>
    <row r="372" spans="1:4" ht="12.75" customHeight="1">
      <c r="A372" s="1"/>
    </row>
    <row r="373" spans="1:4" ht="12.75" customHeight="1">
      <c r="A373" s="1"/>
    </row>
    <row r="374" spans="1:4" ht="12.75" customHeight="1">
      <c r="A374" s="1"/>
      <c r="B374" s="1"/>
      <c r="C374" s="1"/>
      <c r="D374" s="1"/>
    </row>
    <row r="375" spans="1:4" ht="12.75" customHeight="1">
      <c r="A375" s="1"/>
    </row>
    <row r="376" spans="1:4" ht="12.75" customHeight="1">
      <c r="A376" s="1"/>
    </row>
    <row r="377" spans="1:4" ht="12.75" customHeight="1">
      <c r="A377" s="1"/>
    </row>
    <row r="378" spans="1:4" ht="12.75" customHeight="1">
      <c r="A378" s="1"/>
      <c r="B378" s="1"/>
      <c r="C378" s="1"/>
      <c r="D378" s="1"/>
    </row>
    <row r="379" spans="1:4" ht="12.75" customHeight="1">
      <c r="A379" s="1"/>
    </row>
    <row r="380" spans="1:4" ht="12.75" customHeight="1">
      <c r="A380" s="1"/>
    </row>
    <row r="381" spans="1:4" ht="12.75" customHeight="1">
      <c r="A381" s="1"/>
    </row>
    <row r="382" spans="1:4" ht="12.75" customHeight="1">
      <c r="A382" s="1"/>
      <c r="B382" s="1"/>
      <c r="C382" s="1"/>
      <c r="D382" s="1"/>
    </row>
    <row r="383" spans="1:4" ht="12.75" customHeight="1">
      <c r="A383" s="1"/>
    </row>
    <row r="384" spans="1:4" ht="12.75" customHeight="1">
      <c r="A384" s="1"/>
    </row>
    <row r="385" spans="1:4" ht="12.75" customHeight="1">
      <c r="A385" s="1"/>
    </row>
    <row r="386" spans="1:4" ht="12.75" customHeight="1">
      <c r="A386" s="1"/>
      <c r="B386" s="1"/>
      <c r="C386" s="1"/>
      <c r="D386" s="1"/>
    </row>
    <row r="387" spans="1:4" ht="12.75" customHeight="1">
      <c r="A387" s="1"/>
    </row>
    <row r="388" spans="1:4" ht="12.75" customHeight="1">
      <c r="A388" s="1"/>
    </row>
    <row r="389" spans="1:4" ht="12.75" customHeight="1">
      <c r="A389" s="1"/>
    </row>
    <row r="390" spans="1:4" ht="12.75" customHeight="1">
      <c r="A390" s="1"/>
    </row>
    <row r="391" spans="1:4" ht="12.75" customHeight="1">
      <c r="A391" s="1"/>
    </row>
    <row r="392" spans="1:4" ht="12.75" customHeight="1">
      <c r="A392" s="1"/>
    </row>
    <row r="393" spans="1:4" ht="12.75" customHeight="1">
      <c r="A393" s="1"/>
      <c r="B393" s="1"/>
      <c r="C393" s="1"/>
      <c r="D393" s="1"/>
    </row>
    <row r="394" spans="1:4" ht="12.75" customHeight="1">
      <c r="A394" s="1"/>
      <c r="C394" s="1"/>
    </row>
    <row r="395" spans="1:4" ht="12.75" customHeight="1">
      <c r="A395" s="1"/>
      <c r="C395" s="1"/>
    </row>
    <row r="396" spans="1:4" ht="12.75" customHeight="1">
      <c r="A396" s="1"/>
      <c r="C396" s="1"/>
    </row>
    <row r="397" spans="1:4" ht="12.75" customHeight="1">
      <c r="A397" s="1"/>
      <c r="C397" s="1"/>
    </row>
    <row r="398" spans="1:4" ht="12.75" customHeight="1">
      <c r="A398" s="1"/>
      <c r="C398" s="1"/>
    </row>
    <row r="399" spans="1:4" ht="12.75" customHeight="1">
      <c r="A399" s="1"/>
      <c r="C399" s="1"/>
    </row>
    <row r="400" spans="1:4" ht="12.75" customHeight="1">
      <c r="A400" s="1"/>
      <c r="C400" s="1"/>
    </row>
    <row r="401" spans="1:4" ht="12.75" customHeight="1">
      <c r="A401" s="1"/>
      <c r="C401" s="1"/>
    </row>
    <row r="402" spans="1:4" ht="12.75" customHeight="1">
      <c r="A402" s="1"/>
      <c r="C402" s="1"/>
    </row>
    <row r="403" spans="1:4" ht="12.75" customHeight="1">
      <c r="A403" s="1"/>
      <c r="C403" s="1"/>
    </row>
    <row r="404" spans="1:4" ht="12.75" customHeight="1">
      <c r="A404" s="1"/>
      <c r="C404" s="1"/>
    </row>
    <row r="405" spans="1:4" ht="12.75" customHeight="1">
      <c r="A405" s="1"/>
      <c r="C405" s="1"/>
    </row>
    <row r="406" spans="1:4" ht="12.75" customHeight="1">
      <c r="A406" s="1"/>
    </row>
    <row r="407" spans="1:4" ht="12.75" customHeight="1">
      <c r="A407" s="1"/>
    </row>
    <row r="408" spans="1:4" ht="12.75" customHeight="1">
      <c r="A408" s="1"/>
    </row>
    <row r="409" spans="1:4" ht="12.75" customHeight="1">
      <c r="A409" s="1"/>
    </row>
    <row r="410" spans="1:4" ht="12.75" customHeight="1">
      <c r="A410" s="1"/>
    </row>
    <row r="411" spans="1:4" ht="12.75" customHeight="1">
      <c r="A411" s="1"/>
    </row>
    <row r="412" spans="1:4" ht="12.75" customHeight="1">
      <c r="A412" s="1"/>
      <c r="B412" s="1"/>
      <c r="C412" s="1"/>
      <c r="D412" s="1"/>
    </row>
    <row r="416" spans="1:4" ht="12.75" customHeight="1">
      <c r="A416" s="1"/>
    </row>
    <row r="417" spans="1:4" ht="12.75" customHeight="1">
      <c r="A417" s="1"/>
    </row>
    <row r="418" spans="1:4" ht="12.75" customHeight="1">
      <c r="A418" s="1"/>
    </row>
    <row r="419" spans="1:4" ht="12.75" customHeight="1">
      <c r="A419" s="1"/>
      <c r="B419" s="1"/>
      <c r="C419" s="1"/>
      <c r="D419" s="1"/>
    </row>
    <row r="420" spans="1:4" ht="12.75" customHeight="1">
      <c r="A420" s="1"/>
    </row>
    <row r="421" spans="1:4" ht="12.75" customHeight="1">
      <c r="A421" s="1"/>
    </row>
    <row r="422" spans="1:4" ht="12.75" customHeight="1">
      <c r="A422" s="1"/>
    </row>
    <row r="423" spans="1:4" ht="12.75" customHeight="1">
      <c r="A423" s="1"/>
      <c r="B423" s="1"/>
      <c r="C423" s="1"/>
      <c r="D423" s="1"/>
    </row>
    <row r="424" spans="1:4" ht="12.75" customHeight="1">
      <c r="A424" s="1"/>
    </row>
    <row r="425" spans="1:4" ht="12.75" customHeight="1">
      <c r="A425" s="1"/>
    </row>
    <row r="426" spans="1:4" ht="12.75" customHeight="1">
      <c r="A426" s="1"/>
    </row>
    <row r="427" spans="1:4" ht="12.75" customHeight="1">
      <c r="A427" s="1"/>
      <c r="B427" s="1"/>
      <c r="C427" s="1"/>
      <c r="D427" s="1"/>
    </row>
    <row r="428" spans="1:4" ht="12.75" customHeight="1">
      <c r="A428" s="1"/>
    </row>
    <row r="429" spans="1:4" ht="12.75" customHeight="1">
      <c r="A429" s="1"/>
    </row>
    <row r="430" spans="1:4" ht="12.75" customHeight="1">
      <c r="A430" s="1"/>
    </row>
    <row r="431" spans="1:4" ht="12.75" customHeight="1">
      <c r="A431" s="1"/>
    </row>
    <row r="432" spans="1:4" ht="12.75" customHeight="1">
      <c r="A432" s="1"/>
    </row>
    <row r="433" spans="1:4" ht="12.75" customHeight="1">
      <c r="A433" s="1"/>
    </row>
    <row r="434" spans="1:4" ht="12.75" customHeight="1">
      <c r="A434" s="1"/>
      <c r="B434" s="1"/>
      <c r="C434" s="1"/>
      <c r="D434" s="1"/>
    </row>
    <row r="435" spans="1:4" ht="12.75" customHeight="1">
      <c r="A435" s="1"/>
      <c r="C435" s="1"/>
    </row>
    <row r="436" spans="1:4" ht="12.75" customHeight="1">
      <c r="A436" s="1"/>
      <c r="C436" s="1"/>
    </row>
    <row r="437" spans="1:4" ht="12.75" customHeight="1">
      <c r="A437" s="1"/>
      <c r="C437" s="1"/>
    </row>
    <row r="438" spans="1:4" ht="12.75" customHeight="1">
      <c r="A438" s="1"/>
      <c r="C438" s="1"/>
    </row>
    <row r="439" spans="1:4" ht="12.75" customHeight="1">
      <c r="A439" s="1"/>
      <c r="C439" s="1"/>
    </row>
    <row r="440" spans="1:4" ht="12.75" customHeight="1">
      <c r="A440" s="1"/>
      <c r="C440" s="1"/>
    </row>
    <row r="441" spans="1:4" ht="12.75" customHeight="1">
      <c r="A441" s="1"/>
      <c r="C441" s="1"/>
    </row>
    <row r="442" spans="1:4" ht="12.75" customHeight="1">
      <c r="A442" s="1"/>
      <c r="C442" s="1"/>
    </row>
    <row r="443" spans="1:4" ht="12.75" customHeight="1">
      <c r="A443" s="1"/>
      <c r="C443" s="1"/>
    </row>
    <row r="444" spans="1:4" ht="12.75" customHeight="1">
      <c r="A444" s="1"/>
      <c r="C444" s="1"/>
    </row>
    <row r="445" spans="1:4" ht="12.75" customHeight="1">
      <c r="A445" s="1"/>
      <c r="C445" s="1"/>
    </row>
    <row r="446" spans="1:4" ht="12.75" customHeight="1">
      <c r="A446" s="1"/>
      <c r="C446" s="1"/>
    </row>
    <row r="447" spans="1:4" ht="12.75" customHeight="1">
      <c r="A447" s="1"/>
    </row>
    <row r="448" spans="1:4" ht="12.75" customHeight="1">
      <c r="A448" s="1"/>
    </row>
    <row r="449" spans="1:4" ht="12.75" customHeight="1">
      <c r="A449" s="1"/>
    </row>
    <row r="450" spans="1:4" ht="12.75" customHeight="1">
      <c r="A450" s="1"/>
    </row>
    <row r="451" spans="1:4" ht="12.75" customHeight="1">
      <c r="A451" s="1"/>
    </row>
    <row r="452" spans="1:4" ht="12.75" customHeight="1">
      <c r="A452" s="1"/>
    </row>
    <row r="453" spans="1:4" ht="12.75" customHeight="1">
      <c r="A453" s="1"/>
      <c r="B453" s="1"/>
      <c r="C453" s="1"/>
      <c r="D453" s="1"/>
    </row>
    <row r="455" spans="1:4" ht="12.75" customHeight="1">
      <c r="A455" s="1"/>
    </row>
    <row r="456" spans="1:4" ht="12.75" customHeight="1">
      <c r="A456" s="1"/>
    </row>
    <row r="457" spans="1:4" ht="12.75" customHeight="1">
      <c r="A457" s="1"/>
    </row>
    <row r="458" spans="1:4" ht="12.75" customHeight="1">
      <c r="A458" s="1"/>
      <c r="B458" s="1"/>
      <c r="C458" s="1"/>
      <c r="D458" s="1"/>
    </row>
    <row r="459" spans="1:4" ht="12.75" customHeight="1">
      <c r="A459" s="1"/>
    </row>
    <row r="460" spans="1:4" ht="12.75" customHeight="1">
      <c r="A460" s="1"/>
    </row>
    <row r="461" spans="1:4" ht="12.75" customHeight="1">
      <c r="A461" s="1"/>
    </row>
    <row r="462" spans="1:4" ht="12.75" customHeight="1">
      <c r="A462" s="1"/>
      <c r="B462" s="1"/>
      <c r="C462" s="1"/>
      <c r="D462" s="1"/>
    </row>
    <row r="463" spans="1:4" ht="12.75" customHeight="1">
      <c r="A463" s="1"/>
    </row>
    <row r="464" spans="1:4" ht="12.75" customHeight="1">
      <c r="A464" s="1"/>
    </row>
    <row r="465" spans="1:4" ht="12.75" customHeight="1">
      <c r="A465" s="1"/>
    </row>
    <row r="466" spans="1:4" ht="12.75" customHeight="1">
      <c r="A466" s="1"/>
      <c r="B466" s="1"/>
      <c r="C466" s="1"/>
      <c r="D466" s="1"/>
    </row>
    <row r="467" spans="1:4" ht="12.75" customHeight="1">
      <c r="A467" s="1"/>
    </row>
    <row r="468" spans="1:4" ht="12.75" customHeight="1">
      <c r="A468" s="1"/>
    </row>
    <row r="469" spans="1:4" ht="12.75" customHeight="1">
      <c r="A469" s="1"/>
    </row>
    <row r="470" spans="1:4" ht="12.75" customHeight="1">
      <c r="A470" s="1"/>
    </row>
    <row r="471" spans="1:4" ht="12.75" customHeight="1">
      <c r="A471" s="1"/>
    </row>
    <row r="472" spans="1:4" ht="12.75" customHeight="1">
      <c r="A472" s="1"/>
    </row>
    <row r="473" spans="1:4" ht="12.75" customHeight="1">
      <c r="A473" s="1"/>
      <c r="B473" s="1"/>
      <c r="C473" s="1"/>
      <c r="D473" s="1"/>
    </row>
    <row r="474" spans="1:4" ht="12.75" customHeight="1">
      <c r="A474" s="1"/>
      <c r="C474" s="1"/>
    </row>
    <row r="475" spans="1:4" ht="12.75" customHeight="1">
      <c r="A475" s="1"/>
      <c r="C475" s="1"/>
    </row>
    <row r="476" spans="1:4" ht="12.75" customHeight="1">
      <c r="A476" s="1"/>
      <c r="C476" s="1"/>
    </row>
    <row r="477" spans="1:4" ht="12.75" customHeight="1">
      <c r="A477" s="1"/>
      <c r="C477" s="1"/>
    </row>
    <row r="478" spans="1:4" ht="12.75" customHeight="1">
      <c r="A478" s="1"/>
      <c r="C478" s="1"/>
    </row>
    <row r="479" spans="1:4" ht="12.75" customHeight="1">
      <c r="A479" s="1"/>
      <c r="C479" s="1"/>
    </row>
    <row r="480" spans="1:4" ht="12.75" customHeight="1">
      <c r="A480" s="1"/>
      <c r="C480" s="1"/>
    </row>
    <row r="481" spans="1:4" ht="12.75" customHeight="1">
      <c r="A481" s="1"/>
      <c r="C481" s="1"/>
    </row>
    <row r="482" spans="1:4" ht="12.75" customHeight="1">
      <c r="A482" s="1"/>
      <c r="C482" s="1"/>
    </row>
    <row r="483" spans="1:4" ht="12.75" customHeight="1">
      <c r="A483" s="1"/>
      <c r="C483" s="1"/>
    </row>
    <row r="484" spans="1:4" ht="12.75" customHeight="1">
      <c r="A484" s="1"/>
      <c r="C484" s="1"/>
    </row>
    <row r="485" spans="1:4" ht="12.75" customHeight="1">
      <c r="A485" s="1"/>
      <c r="C485" s="1"/>
    </row>
    <row r="486" spans="1:4" ht="12.75" customHeight="1">
      <c r="A486" s="1"/>
    </row>
    <row r="487" spans="1:4" ht="12.75" customHeight="1">
      <c r="A487" s="1"/>
    </row>
    <row r="488" spans="1:4" ht="12.75" customHeight="1">
      <c r="A488" s="1"/>
    </row>
    <row r="489" spans="1:4" ht="12.75" customHeight="1">
      <c r="A489" s="1"/>
    </row>
    <row r="490" spans="1:4" ht="12.75" customHeight="1">
      <c r="A490" s="1"/>
    </row>
    <row r="491" spans="1:4" ht="12.75" customHeight="1">
      <c r="A491" s="1"/>
    </row>
    <row r="492" spans="1:4" ht="12.75" customHeight="1">
      <c r="A492" s="1"/>
      <c r="B492" s="1"/>
      <c r="C492" s="1"/>
      <c r="D492" s="1"/>
    </row>
  </sheetData>
  <phoneticPr fontId="0" type="noConversion"/>
  <printOptions gridLines="1"/>
  <pageMargins left="0.78740157480314965" right="0.78740157480314965" top="0.78740157480314965" bottom="0.78740157480314965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Procter &amp; Gamble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Farasyn</dc:creator>
  <cp:keywords/>
  <dc:description/>
  <cp:lastModifiedBy/>
  <cp:revision/>
  <dcterms:created xsi:type="dcterms:W3CDTF">2003-12-31T15:23:36Z</dcterms:created>
  <dcterms:modified xsi:type="dcterms:W3CDTF">2026-03-24T12:55:09Z</dcterms:modified>
  <cp:category/>
  <cp:contentStatus/>
</cp:coreProperties>
</file>