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kachra\Rudder Assignments\"/>
    </mc:Choice>
  </mc:AlternateContent>
  <bookViews>
    <workbookView xWindow="0" yWindow="0" windowWidth="19200" windowHeight="7190"/>
  </bookViews>
  <sheets>
    <sheet name="Sheet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G11" i="1"/>
  <c r="G10" i="1"/>
  <c r="J5" i="1"/>
  <c r="J6" i="1" s="1"/>
  <c r="J7" i="1" s="1"/>
  <c r="G7" i="1"/>
  <c r="G5" i="1"/>
  <c r="G4" i="1"/>
  <c r="G6" i="1" s="1"/>
  <c r="G8" i="1" s="1"/>
  <c r="G3" i="1"/>
  <c r="G2" i="1"/>
  <c r="G9" i="1" l="1"/>
  <c r="J2" i="1"/>
  <c r="J12" i="1" s="1"/>
  <c r="J13" i="1" s="1"/>
</calcChain>
</file>

<file path=xl/sharedStrings.xml><?xml version="1.0" encoding="utf-8"?>
<sst xmlns="http://schemas.openxmlformats.org/spreadsheetml/2006/main" count="38" uniqueCount="37">
  <si>
    <t>Length (m)</t>
  </si>
  <si>
    <t>Width (m)</t>
  </si>
  <si>
    <t>Height (m)</t>
  </si>
  <si>
    <t>Wall Thickness (m)</t>
  </si>
  <si>
    <t>Worker Benefits (%)</t>
  </si>
  <si>
    <t>Work Hours/Day</t>
  </si>
  <si>
    <t>Number of Days</t>
  </si>
  <si>
    <t>Workers per Crew</t>
  </si>
  <si>
    <r>
      <t>Lava Rock Cost ($/m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</si>
  <si>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Brick Cost ($/m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</si>
  <si>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Lava Rock Density (kg/m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</si>
  <si>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Brick Density (kg/m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</si>
  <si>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Profit Markup (%)</t>
  </si>
  <si>
    <t>Wage ($/hr/worker)</t>
  </si>
  <si>
    <t>Inputs</t>
  </si>
  <si>
    <t>Material Type</t>
  </si>
  <si>
    <t>Density Selection</t>
  </si>
  <si>
    <t>Outer Length</t>
  </si>
  <si>
    <t>Material-Based Calculations</t>
  </si>
  <si>
    <r>
      <t>Material Costs per m</t>
    </r>
    <r>
      <rPr>
        <vertAlign val="superscript"/>
        <sz val="11"/>
        <color theme="1"/>
        <rFont val="Calibri"/>
        <family val="2"/>
        <scheme val="minor"/>
      </rPr>
      <t>3</t>
    </r>
  </si>
  <si>
    <t>Outer Width</t>
  </si>
  <si>
    <t>Outer Volume</t>
  </si>
  <si>
    <t>Inner Volume (Water Capacity)</t>
  </si>
  <si>
    <t>Material Volume</t>
  </si>
  <si>
    <t>LABOR COST CALCULATION</t>
  </si>
  <si>
    <t>Total Work Hours</t>
  </si>
  <si>
    <t>Base Labor Cost</t>
  </si>
  <si>
    <t>MATERIAL COST CALCULATION</t>
  </si>
  <si>
    <t>Material Cost</t>
  </si>
  <si>
    <t>Total Cost</t>
  </si>
  <si>
    <t>Total with Worker Benefits</t>
  </si>
  <si>
    <t>Final Bid Price</t>
  </si>
  <si>
    <t>Weight of Tank</t>
  </si>
  <si>
    <t>Water Volume</t>
  </si>
  <si>
    <t>Water Weight</t>
  </si>
  <si>
    <t>Total Weight</t>
  </si>
  <si>
    <t>Brick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</si>
</sst>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9" fontId="0" fillId="2" borderId="1" xfId="0" applyNumberFormat="1" applyFill="1" applyBorder="1"/>
    <xf numFmtId="0" fontId="0" fillId="2" borderId="1" xfId="0" applyFont="1" applyFill="1" applyBorder="1" applyAlignment="1"/>
    <xf numFmtId="0" fontId="0" fillId="2" borderId="1" xfId="0" applyFont="1" applyFill="1" applyBorder="1"/>
    <xf numFmtId="0" fontId="3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2" borderId="0" xfId="0" applyFont="1" applyFill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"/>
  <sheetViews>
    <sheetView tabSelected="1" workbookViewId="0">
      <selection activeCell="E19" sqref="E19"/>
    </sheetView>
  </sheetViews>
  <sheetFormatPr defaultRowHeight="14.5" x14ac:dyDescent="0.35"/>
  <cols>
    <col min="2" max="2" width="23.7265625" customWidth="1"/>
    <col min="6" max="6" width="26.81640625" customWidth="1"/>
    <col min="9" max="9" width="23.08984375" customWidth="1"/>
    <col min="10" max="10" width="10.08984375" customWidth="1"/>
  </cols>
  <sheetData>
    <row r="1" spans="2:10" ht="21" x14ac:dyDescent="0.5">
      <c r="B1" s="9" t="s">
        <v>14</v>
      </c>
      <c r="C1" s="9"/>
      <c r="F1" s="10" t="s">
        <v>18</v>
      </c>
      <c r="G1" s="11"/>
      <c r="I1" s="7" t="s">
        <v>27</v>
      </c>
      <c r="J1" s="8"/>
    </row>
    <row r="2" spans="2:10" ht="16.5" x14ac:dyDescent="0.35">
      <c r="B2" s="1" t="s">
        <v>0</v>
      </c>
      <c r="C2" s="1">
        <v>6</v>
      </c>
      <c r="F2" s="3" t="s">
        <v>19</v>
      </c>
      <c r="G2" s="4">
        <f>IF(C17="Lava Rock", C11, C12)</f>
        <v>70</v>
      </c>
      <c r="I2" s="1" t="s">
        <v>28</v>
      </c>
      <c r="J2" s="1">
        <f>G8 * G2</f>
        <v>5544.0000000000036</v>
      </c>
    </row>
    <row r="3" spans="2:10" x14ac:dyDescent="0.35">
      <c r="B3" s="1" t="s">
        <v>1</v>
      </c>
      <c r="C3" s="1">
        <v>6</v>
      </c>
      <c r="F3" s="3" t="s">
        <v>16</v>
      </c>
      <c r="G3" s="4">
        <f>IF(C17="Lava Rock", C13, C14)</f>
        <v>1400</v>
      </c>
    </row>
    <row r="4" spans="2:10" ht="18.5" x14ac:dyDescent="0.45">
      <c r="B4" s="1" t="s">
        <v>2</v>
      </c>
      <c r="C4" s="1">
        <v>5</v>
      </c>
      <c r="F4" s="4" t="s">
        <v>17</v>
      </c>
      <c r="G4" s="4">
        <f>C2 + 2*C5</f>
        <v>7.2</v>
      </c>
      <c r="I4" s="6" t="s">
        <v>24</v>
      </c>
      <c r="J4" s="6"/>
    </row>
    <row r="5" spans="2:10" x14ac:dyDescent="0.35">
      <c r="B5" s="1" t="s">
        <v>3</v>
      </c>
      <c r="C5" s="1">
        <v>0.6</v>
      </c>
      <c r="F5" s="1" t="s">
        <v>20</v>
      </c>
      <c r="G5" s="1">
        <f>C3 + 2*C5</f>
        <v>7.2</v>
      </c>
      <c r="I5" s="1" t="s">
        <v>25</v>
      </c>
      <c r="J5" s="1">
        <f>C10 * C8 * C9</f>
        <v>48</v>
      </c>
    </row>
    <row r="6" spans="2:10" x14ac:dyDescent="0.35">
      <c r="B6" s="1" t="s">
        <v>13</v>
      </c>
      <c r="C6" s="1">
        <v>10</v>
      </c>
      <c r="F6" s="1" t="s">
        <v>21</v>
      </c>
      <c r="G6" s="1">
        <f>G4 * G5 * C4</f>
        <v>259.20000000000005</v>
      </c>
      <c r="I6" s="1" t="s">
        <v>26</v>
      </c>
      <c r="J6" s="1">
        <f>J5 * C6</f>
        <v>480</v>
      </c>
    </row>
    <row r="7" spans="2:10" x14ac:dyDescent="0.35">
      <c r="B7" s="1" t="s">
        <v>4</v>
      </c>
      <c r="C7" s="2">
        <v>0.2</v>
      </c>
      <c r="F7" s="5" t="s">
        <v>22</v>
      </c>
      <c r="G7" s="5">
        <f>C2*C3*C4</f>
        <v>180</v>
      </c>
      <c r="I7" s="1" t="s">
        <v>30</v>
      </c>
      <c r="J7" s="1">
        <f>J6 * (1 + C7)</f>
        <v>576</v>
      </c>
    </row>
    <row r="8" spans="2:10" x14ac:dyDescent="0.35">
      <c r="B8" s="1" t="s">
        <v>5</v>
      </c>
      <c r="C8" s="1">
        <v>8</v>
      </c>
      <c r="F8" s="1" t="s">
        <v>23</v>
      </c>
      <c r="G8" s="1">
        <f>G6-G7</f>
        <v>79.200000000000045</v>
      </c>
    </row>
    <row r="9" spans="2:10" x14ac:dyDescent="0.35">
      <c r="B9" s="1" t="s">
        <v>6</v>
      </c>
      <c r="C9" s="1">
        <v>3</v>
      </c>
      <c r="F9" s="1" t="s">
        <v>32</v>
      </c>
      <c r="G9" s="1">
        <f>G8 * G3</f>
        <v>110880.00000000006</v>
      </c>
    </row>
    <row r="10" spans="2:10" x14ac:dyDescent="0.35">
      <c r="B10" s="1" t="s">
        <v>7</v>
      </c>
      <c r="C10" s="1">
        <v>2</v>
      </c>
      <c r="F10" s="1" t="s">
        <v>33</v>
      </c>
      <c r="G10" s="1">
        <f>C2 * C3 * 4</f>
        <v>144</v>
      </c>
    </row>
    <row r="11" spans="2:10" ht="18.5" x14ac:dyDescent="0.45">
      <c r="B11" s="1" t="s">
        <v>8</v>
      </c>
      <c r="C11" s="1">
        <v>105</v>
      </c>
      <c r="F11" s="4" t="s">
        <v>34</v>
      </c>
      <c r="G11" s="4">
        <f>G10 * 1000</f>
        <v>144000</v>
      </c>
      <c r="I11" s="6" t="s">
        <v>24</v>
      </c>
      <c r="J11" s="6"/>
    </row>
    <row r="12" spans="2:10" ht="16.5" x14ac:dyDescent="0.35">
      <c r="B12" s="1" t="s">
        <v>9</v>
      </c>
      <c r="C12" s="1">
        <v>70</v>
      </c>
      <c r="F12" s="5" t="s">
        <v>35</v>
      </c>
      <c r="G12" s="5">
        <f>G10+G11</f>
        <v>144144</v>
      </c>
      <c r="I12" s="1" t="s">
        <v>29</v>
      </c>
      <c r="J12" s="1">
        <f>J7 + J2</f>
        <v>6120.0000000000036</v>
      </c>
    </row>
    <row r="13" spans="2:10" ht="16.5" x14ac:dyDescent="0.35">
      <c r="B13" s="1" t="s">
        <v>10</v>
      </c>
      <c r="C13" s="1">
        <v>1800</v>
      </c>
      <c r="I13" s="5" t="s">
        <v>31</v>
      </c>
      <c r="J13" s="5">
        <f>J12 * (1 + C15)</f>
        <v>7956.0000000000045</v>
      </c>
    </row>
    <row r="14" spans="2:10" ht="16.5" x14ac:dyDescent="0.35">
      <c r="B14" s="1" t="s">
        <v>11</v>
      </c>
      <c r="C14" s="1">
        <v>1400</v>
      </c>
    </row>
    <row r="15" spans="2:10" x14ac:dyDescent="0.35">
      <c r="B15" s="1" t="s">
        <v>12</v>
      </c>
      <c r="C15" s="2">
        <v>0.3</v>
      </c>
    </row>
    <row r="17" spans="2:3" x14ac:dyDescent="0.35">
      <c r="B17" s="13" t="s">
        <v>15</v>
      </c>
      <c r="C17" s="12" t="s">
        <v>36</v>
      </c>
    </row>
  </sheetData>
  <mergeCells count="5">
    <mergeCell ref="I11:J11"/>
    <mergeCell ref="I1:J1"/>
    <mergeCell ref="B1:C1"/>
    <mergeCell ref="F1:G1"/>
    <mergeCell ref="I4:J4"/>
  </mergeCells>
  <dataValidations count="1">
    <dataValidation type="list" allowBlank="1" showInputMessage="1" showErrorMessage="1" sqref="C17">
      <formula1>"Lava Rock,Brick"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2026-03-24T04:26:11Z</dcterms:created>
  <dcterms:modified xsi:type="dcterms:W3CDTF">2026-03-24T09:16:04Z</dcterms:modified>
</cp:coreProperties>
</file>