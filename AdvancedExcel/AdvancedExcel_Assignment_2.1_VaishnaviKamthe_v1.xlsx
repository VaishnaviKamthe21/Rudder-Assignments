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kachra\Rudder Assignments\"/>
    </mc:Choice>
  </mc:AlternateContent>
  <bookViews>
    <workbookView xWindow="0" yWindow="0" windowWidth="19200" windowHeight="7190" activeTab="6"/>
  </bookViews>
  <sheets>
    <sheet name="Instructions" sheetId="51" r:id="rId1"/>
    <sheet name="Dept. A" sheetId="4" r:id="rId2"/>
    <sheet name="Dept. B" sheetId="41" r:id="rId3"/>
    <sheet name="Dept. C" sheetId="44" r:id="rId4"/>
    <sheet name="Consolidate" sheetId="45" r:id="rId5"/>
    <sheet name="Breakdown" sheetId="49" r:id="rId6"/>
    <sheet name="Index" sheetId="52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52" l="1" a="1"/>
  <c r="H4" i="52" s="1"/>
  <c r="H3" i="52" a="1"/>
  <c r="H3" i="52" s="1"/>
  <c r="I4" i="49"/>
  <c r="I5" i="49"/>
  <c r="I6" i="49"/>
  <c r="I7" i="49"/>
  <c r="I3" i="49"/>
  <c r="G4" i="49"/>
  <c r="G5" i="49"/>
  <c r="G6" i="49"/>
  <c r="G7" i="49"/>
  <c r="G3" i="49"/>
  <c r="H7" i="49"/>
  <c r="H4" i="49"/>
  <c r="H5" i="49"/>
  <c r="H6" i="49"/>
  <c r="F4" i="49"/>
  <c r="F5" i="49"/>
  <c r="F6" i="49"/>
  <c r="F7" i="49"/>
  <c r="E4" i="49"/>
  <c r="E5" i="49"/>
  <c r="E6" i="49"/>
  <c r="E7" i="49"/>
  <c r="H3" i="49"/>
  <c r="F3" i="49"/>
  <c r="C4" i="49"/>
  <c r="C5" i="49"/>
  <c r="C6" i="49"/>
  <c r="C7" i="49"/>
  <c r="C3" i="49"/>
  <c r="E3" i="49"/>
  <c r="C4" i="45"/>
  <c r="C5" i="45"/>
  <c r="C6" i="45"/>
  <c r="C7" i="45"/>
  <c r="C8" i="45"/>
  <c r="C9" i="45"/>
  <c r="C10" i="45"/>
  <c r="C11" i="45"/>
  <c r="C12" i="45"/>
  <c r="C3" i="45"/>
</calcChain>
</file>

<file path=xl/sharedStrings.xml><?xml version="1.0" encoding="utf-8"?>
<sst xmlns="http://schemas.openxmlformats.org/spreadsheetml/2006/main" count="75" uniqueCount="40">
  <si>
    <t>Total Revenue</t>
  </si>
  <si>
    <t>Product ID</t>
  </si>
  <si>
    <t>AA-1</t>
  </si>
  <si>
    <t>AA-2</t>
  </si>
  <si>
    <t>AA-3</t>
  </si>
  <si>
    <t>BB-1</t>
  </si>
  <si>
    <t>BB-2</t>
  </si>
  <si>
    <t>AA-4</t>
  </si>
  <si>
    <t>AA-5</t>
  </si>
  <si>
    <t>BB-3</t>
  </si>
  <si>
    <t>BB-4</t>
  </si>
  <si>
    <t>BB-5</t>
  </si>
  <si>
    <t>BB-6</t>
  </si>
  <si>
    <t>BB-7</t>
  </si>
  <si>
    <t>CC-1</t>
  </si>
  <si>
    <t>CC-2</t>
  </si>
  <si>
    <t>CC-3</t>
  </si>
  <si>
    <t>Summary</t>
  </si>
  <si>
    <t>Dept. A</t>
  </si>
  <si>
    <t>Dept. B</t>
  </si>
  <si>
    <t>Dept. C</t>
  </si>
  <si>
    <t>Sub-Total Revenue</t>
  </si>
  <si>
    <t>Student ID</t>
  </si>
  <si>
    <t>Subject</t>
  </si>
  <si>
    <t>Scores</t>
  </si>
  <si>
    <t>2021-A</t>
  </si>
  <si>
    <t>Math</t>
  </si>
  <si>
    <t>Physics</t>
  </si>
  <si>
    <t>2021-B</t>
  </si>
  <si>
    <t>2021-C</t>
  </si>
  <si>
    <t>B. Breakdown</t>
  </si>
  <si>
    <t>Go to consolidate sheet and use formula to populate values for Total Revenue column for each summary Type.</t>
  </si>
  <si>
    <t>Use data from Dept. A, Dept. B and Dept. C worksheets to complete this task.</t>
  </si>
  <si>
    <r>
      <t xml:space="preserve">For Summary </t>
    </r>
    <r>
      <rPr>
        <b/>
        <sz val="11"/>
        <color theme="1"/>
        <rFont val="Calibri"/>
        <family val="2"/>
        <scheme val="minor"/>
      </rPr>
      <t>BB-1</t>
    </r>
    <r>
      <rPr>
        <sz val="11"/>
        <color theme="1"/>
        <rFont val="Calibri"/>
        <family val="2"/>
        <scheme val="minor"/>
      </rPr>
      <t xml:space="preserve"> Total Revenue would be </t>
    </r>
    <r>
      <rPr>
        <b/>
        <sz val="11"/>
        <color theme="1"/>
        <rFont val="Calibri"/>
        <family val="2"/>
        <scheme val="minor"/>
      </rPr>
      <t>$258</t>
    </r>
    <r>
      <rPr>
        <sz val="11"/>
        <color theme="1"/>
        <rFont val="Calibri"/>
        <family val="2"/>
        <scheme val="minor"/>
      </rPr>
      <t>.</t>
    </r>
  </si>
  <si>
    <t>A. Consolidate.</t>
  </si>
  <si>
    <t>Hint: Use Vlookup</t>
  </si>
  <si>
    <t>Use excel functions to achieve correct values like below.</t>
  </si>
  <si>
    <t>C. Index</t>
  </si>
  <si>
    <t>Use Index and Match function to achieve values like below.</t>
  </si>
  <si>
    <t>Use data available in Index worksheet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</si>
</sst>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[$$-1004]#,##0.00"/>
    <numFmt numFmtId="167" formatCode="[$$-1004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0" fillId="3" borderId="2" xfId="0" applyFill="1" applyBorder="1"/>
    <xf numFmtId="0" fontId="2" fillId="2" borderId="4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5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2" fillId="2" borderId="6" xfId="1" applyNumberFormat="1" applyFont="1" applyFill="1" applyBorder="1" applyAlignment="1">
      <alignment horizontal="center"/>
    </xf>
    <xf numFmtId="0" fontId="3" fillId="0" borderId="0" xfId="2"/>
    <xf numFmtId="165" fontId="0" fillId="4" borderId="4" xfId="1" applyNumberFormat="1" applyFont="1" applyFill="1" applyBorder="1"/>
    <xf numFmtId="165" fontId="0" fillId="5" borderId="4" xfId="1" applyNumberFormat="1" applyFont="1" applyFill="1" applyBorder="1"/>
    <xf numFmtId="165" fontId="0" fillId="4" borderId="1" xfId="1" applyNumberFormat="1" applyFont="1" applyFill="1" applyBorder="1"/>
    <xf numFmtId="165" fontId="0" fillId="4" borderId="5" xfId="1" applyNumberFormat="1" applyFont="1" applyFill="1" applyBorder="1"/>
    <xf numFmtId="165" fontId="0" fillId="5" borderId="6" xfId="1" applyNumberFormat="1" applyFont="1" applyFill="1" applyBorder="1"/>
    <xf numFmtId="165" fontId="0" fillId="4" borderId="6" xfId="1" applyNumberFormat="1" applyFont="1" applyFill="1" applyBorder="1"/>
    <xf numFmtId="0" fontId="4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166" fontId="0" fillId="3" borderId="4" xfId="1" applyNumberFormat="1" applyFont="1" applyFill="1" applyBorder="1"/>
    <xf numFmtId="166" fontId="0" fillId="0" borderId="4" xfId="1" applyNumberFormat="1" applyFont="1" applyBorder="1"/>
    <xf numFmtId="166" fontId="0" fillId="3" borderId="3" xfId="1" applyNumberFormat="1" applyFont="1" applyFill="1" applyBorder="1"/>
    <xf numFmtId="167" fontId="0" fillId="3" borderId="4" xfId="1" applyNumberFormat="1" applyFont="1" applyFill="1" applyBorder="1"/>
    <xf numFmtId="167" fontId="0" fillId="0" borderId="4" xfId="1" applyNumberFormat="1" applyFont="1" applyBorder="1"/>
    <xf numFmtId="167" fontId="0" fillId="3" borderId="3" xfId="1" applyNumberFormat="1" applyFont="1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7" xfId="0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35</xdr:row>
      <xdr:rowOff>60960</xdr:rowOff>
    </xdr:from>
    <xdr:to>
      <xdr:col>7</xdr:col>
      <xdr:colOff>234686</xdr:colOff>
      <xdr:row>39</xdr:row>
      <xdr:rowOff>5809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970A751-D978-1AA5-C038-1E8B6ECB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6324600"/>
          <a:ext cx="2657846" cy="67636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18</xdr:row>
      <xdr:rowOff>106680</xdr:rowOff>
    </xdr:from>
    <xdr:to>
      <xdr:col>14</xdr:col>
      <xdr:colOff>317413</xdr:colOff>
      <xdr:row>26</xdr:row>
      <xdr:rowOff>63063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4BDCF128-B82A-DD6E-8EE5-C579CFF8B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" y="3329940"/>
          <a:ext cx="8478433" cy="1419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6EA88C-552B-4D4A-8E4F-649D4B27A8F3}">
  <we:reference id="wa200001841" version="1.0.0.0" store="en-US" storeType="OMEX"/>
  <we:alternateReferences>
    <we:reference id="WA200001841" version="1.0.0.0" store="WA20000184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zoomScaleNormal="100" workbookViewId="0">
      <selection activeCell="P22" sqref="P22"/>
    </sheetView>
  </sheetViews>
  <sheetFormatPr defaultRowHeight="14.5" x14ac:dyDescent="0.35"/>
  <sheetData>
    <row r="1" spans="1:2" x14ac:dyDescent="0.35">
      <c r="A1" s="13" t="s">
        <v>34</v>
      </c>
    </row>
    <row r="3" spans="1:2" x14ac:dyDescent="0.35">
      <c r="B3" t="s">
        <v>31</v>
      </c>
    </row>
    <row r="4" spans="1:2" x14ac:dyDescent="0.35">
      <c r="B4" t="s">
        <v>32</v>
      </c>
    </row>
    <row r="5" spans="1:2" x14ac:dyDescent="0.35">
      <c r="B5" s="20" t="s">
        <v>35</v>
      </c>
    </row>
    <row r="7" spans="1:2" x14ac:dyDescent="0.35">
      <c r="B7" t="s">
        <v>33</v>
      </c>
    </row>
    <row r="14" spans="1:2" s="21" customFormat="1" ht="9" customHeight="1" x14ac:dyDescent="0.35"/>
    <row r="16" spans="1:2" x14ac:dyDescent="0.35">
      <c r="A16" s="13" t="s">
        <v>30</v>
      </c>
    </row>
    <row r="18" spans="1:2" x14ac:dyDescent="0.35">
      <c r="B18" t="s">
        <v>36</v>
      </c>
    </row>
    <row r="30" spans="1:2" s="21" customFormat="1" ht="9" customHeight="1" x14ac:dyDescent="0.35"/>
    <row r="31" spans="1:2" x14ac:dyDescent="0.35">
      <c r="A31" s="13" t="s">
        <v>37</v>
      </c>
    </row>
    <row r="33" spans="2:2" x14ac:dyDescent="0.35">
      <c r="B33" t="s">
        <v>38</v>
      </c>
    </row>
    <row r="34" spans="2:2" x14ac:dyDescent="0.35">
      <c r="B34" t="s">
        <v>39</v>
      </c>
    </row>
  </sheetData>
  <hyperlinks>
    <hyperlink ref="A1" location="Consolidate!A1" display="Consolidate"/>
    <hyperlink ref="A16" location="Breakdown!A1" display="Breakdown"/>
    <hyperlink ref="A31" location="Index!A1" display="C. Index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"/>
  <sheetViews>
    <sheetView showGridLines="0" zoomScaleNormal="100" workbookViewId="0">
      <selection activeCell="C12" sqref="C12"/>
    </sheetView>
  </sheetViews>
  <sheetFormatPr defaultColWidth="9.08984375" defaultRowHeight="14.5" x14ac:dyDescent="0.35"/>
  <cols>
    <col min="1" max="1" width="1.90625" customWidth="1"/>
    <col min="2" max="2" width="14.90625" customWidth="1"/>
    <col min="3" max="3" width="15.90625" customWidth="1"/>
    <col min="4" max="4" width="4.90625" customWidth="1"/>
  </cols>
  <sheetData>
    <row r="1" spans="2:3" ht="10.65" customHeight="1" x14ac:dyDescent="0.35"/>
    <row r="2" spans="2:3" x14ac:dyDescent="0.35">
      <c r="B2" s="1" t="s">
        <v>1</v>
      </c>
      <c r="C2" s="5" t="s">
        <v>0</v>
      </c>
    </row>
    <row r="3" spans="2:3" x14ac:dyDescent="0.35">
      <c r="B3" s="2" t="s">
        <v>2</v>
      </c>
      <c r="C3" s="26">
        <v>400</v>
      </c>
    </row>
    <row r="4" spans="2:3" x14ac:dyDescent="0.35">
      <c r="B4" s="3" t="s">
        <v>3</v>
      </c>
      <c r="C4" s="27">
        <v>450</v>
      </c>
    </row>
    <row r="5" spans="2:3" x14ac:dyDescent="0.35">
      <c r="B5" s="2" t="s">
        <v>4</v>
      </c>
      <c r="C5" s="26">
        <v>160</v>
      </c>
    </row>
    <row r="6" spans="2:3" x14ac:dyDescent="0.35">
      <c r="B6" s="6" t="s">
        <v>5</v>
      </c>
      <c r="C6" s="27">
        <v>258</v>
      </c>
    </row>
    <row r="7" spans="2:3" x14ac:dyDescent="0.35">
      <c r="B7" s="4" t="s">
        <v>6</v>
      </c>
      <c r="C7" s="28">
        <v>1120</v>
      </c>
    </row>
    <row r="11" spans="2:3" x14ac:dyDescent="0.35">
      <c r="B11" s="13"/>
    </row>
  </sheetData>
  <sheetProtection sheet="1" objects="1" scenarios="1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showGridLines="0" zoomScaleNormal="100" workbookViewId="0">
      <selection activeCell="C21" sqref="C21"/>
    </sheetView>
  </sheetViews>
  <sheetFormatPr defaultColWidth="9.08984375" defaultRowHeight="14.5" x14ac:dyDescent="0.35"/>
  <cols>
    <col min="1" max="1" width="1.90625" customWidth="1"/>
    <col min="2" max="2" width="14.90625" customWidth="1"/>
    <col min="3" max="3" width="15.90625" customWidth="1"/>
    <col min="4" max="4" width="4.90625" customWidth="1"/>
  </cols>
  <sheetData>
    <row r="1" spans="2:6" ht="10.65" customHeight="1" x14ac:dyDescent="0.35"/>
    <row r="2" spans="2:6" x14ac:dyDescent="0.35">
      <c r="B2" s="1" t="s">
        <v>1</v>
      </c>
      <c r="C2" s="5" t="s">
        <v>0</v>
      </c>
    </row>
    <row r="3" spans="2:6" x14ac:dyDescent="0.35">
      <c r="B3" s="2" t="s">
        <v>7</v>
      </c>
      <c r="C3" s="26">
        <v>365</v>
      </c>
    </row>
    <row r="4" spans="2:6" x14ac:dyDescent="0.35">
      <c r="B4" s="3" t="s">
        <v>8</v>
      </c>
      <c r="C4" s="27">
        <v>286</v>
      </c>
    </row>
    <row r="5" spans="2:6" x14ac:dyDescent="0.35">
      <c r="B5" s="2" t="s">
        <v>9</v>
      </c>
      <c r="C5" s="26">
        <v>668</v>
      </c>
      <c r="F5" s="8"/>
    </row>
    <row r="6" spans="2:6" x14ac:dyDescent="0.35">
      <c r="B6" s="6" t="s">
        <v>10</v>
      </c>
      <c r="C6" s="27">
        <v>2560</v>
      </c>
    </row>
    <row r="7" spans="2:6" x14ac:dyDescent="0.35">
      <c r="B7" s="4" t="s">
        <v>11</v>
      </c>
      <c r="C7" s="28">
        <v>1100</v>
      </c>
    </row>
    <row r="9" spans="2:6" x14ac:dyDescent="0.35">
      <c r="E9" s="9"/>
    </row>
    <row r="11" spans="2:6" x14ac:dyDescent="0.35">
      <c r="B11" s="13"/>
    </row>
  </sheetData>
  <sheetProtection sheet="1" objects="1" scenarios="1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showGridLines="0" zoomScaleNormal="100" workbookViewId="0">
      <selection activeCell="C11" sqref="C11"/>
    </sheetView>
  </sheetViews>
  <sheetFormatPr defaultColWidth="9.08984375" defaultRowHeight="14.5" x14ac:dyDescent="0.35"/>
  <cols>
    <col min="1" max="1" width="1.90625" customWidth="1"/>
    <col min="2" max="2" width="14.90625" customWidth="1"/>
    <col min="3" max="3" width="15.90625" customWidth="1"/>
    <col min="4" max="4" width="4.90625" customWidth="1"/>
  </cols>
  <sheetData>
    <row r="1" spans="2:6" ht="10.65" customHeight="1" x14ac:dyDescent="0.35"/>
    <row r="2" spans="2:6" x14ac:dyDescent="0.35">
      <c r="B2" s="1" t="s">
        <v>1</v>
      </c>
      <c r="C2" s="5" t="s">
        <v>0</v>
      </c>
    </row>
    <row r="3" spans="2:6" x14ac:dyDescent="0.35">
      <c r="B3" s="2" t="s">
        <v>12</v>
      </c>
      <c r="C3" s="23">
        <v>1400</v>
      </c>
    </row>
    <row r="4" spans="2:6" x14ac:dyDescent="0.35">
      <c r="B4" s="3" t="s">
        <v>13</v>
      </c>
      <c r="C4" s="24">
        <v>2200</v>
      </c>
    </row>
    <row r="5" spans="2:6" x14ac:dyDescent="0.35">
      <c r="B5" s="2" t="s">
        <v>14</v>
      </c>
      <c r="C5" s="23">
        <v>600</v>
      </c>
      <c r="F5" s="8"/>
    </row>
    <row r="6" spans="2:6" x14ac:dyDescent="0.35">
      <c r="B6" s="6" t="s">
        <v>15</v>
      </c>
      <c r="C6" s="24">
        <v>1000</v>
      </c>
    </row>
    <row r="7" spans="2:6" x14ac:dyDescent="0.35">
      <c r="B7" s="4" t="s">
        <v>16</v>
      </c>
      <c r="C7" s="25">
        <v>1200</v>
      </c>
    </row>
    <row r="9" spans="2:6" x14ac:dyDescent="0.35">
      <c r="E9" s="9"/>
    </row>
    <row r="11" spans="2:6" x14ac:dyDescent="0.35">
      <c r="B11" s="13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showGridLines="0" zoomScaleNormal="100" workbookViewId="0">
      <selection activeCell="F10" sqref="F10"/>
    </sheetView>
  </sheetViews>
  <sheetFormatPr defaultColWidth="9.08984375" defaultRowHeight="14.5" x14ac:dyDescent="0.35"/>
  <cols>
    <col min="1" max="1" width="1.90625" customWidth="1"/>
    <col min="2" max="2" width="14.90625" customWidth="1"/>
    <col min="3" max="3" width="15.90625" customWidth="1"/>
    <col min="4" max="4" width="4.90625" customWidth="1"/>
  </cols>
  <sheetData>
    <row r="1" spans="2:6" ht="10.65" customHeight="1" x14ac:dyDescent="0.35"/>
    <row r="2" spans="2:6" x14ac:dyDescent="0.35">
      <c r="B2" s="1" t="s">
        <v>17</v>
      </c>
      <c r="C2" s="5" t="s">
        <v>0</v>
      </c>
    </row>
    <row r="3" spans="2:6" x14ac:dyDescent="0.35">
      <c r="B3" s="2" t="s">
        <v>5</v>
      </c>
      <c r="C3" s="15">
        <f>IFERROR(VLOOKUP(B3,'Dept. A'!B:C,2,FALSE),0)+IFERROR(VLOOKUP(B3,'Dept. B'!B:C,2,FALSE),0)+IFERROR(VLOOKUP(B3,'Dept. C'!B:C,2,FALSE),0)</f>
        <v>258</v>
      </c>
    </row>
    <row r="4" spans="2:6" x14ac:dyDescent="0.35">
      <c r="B4" s="30" t="s">
        <v>6</v>
      </c>
      <c r="C4" s="15">
        <f>IFERROR(VLOOKUP(B4,'Dept. A'!B:C,2,FALSE),0)+IFERROR(VLOOKUP(B4,'Dept. B'!B:C,2,FALSE),0)+IFERROR(VLOOKUP(B4,'Dept. C'!B:C,2,FALSE),0)</f>
        <v>1120</v>
      </c>
    </row>
    <row r="5" spans="2:6" x14ac:dyDescent="0.35">
      <c r="B5" s="2" t="s">
        <v>9</v>
      </c>
      <c r="C5" s="15">
        <f>IFERROR(VLOOKUP(B5,'Dept. A'!B:C,2,FALSE),0)+IFERROR(VLOOKUP(B5,'Dept. B'!B:C,2,FALSE),0)+IFERROR(VLOOKUP(B5,'Dept. C'!B:C,2,FALSE),0)</f>
        <v>668</v>
      </c>
      <c r="F5" s="8"/>
    </row>
    <row r="6" spans="2:6" x14ac:dyDescent="0.35">
      <c r="B6" s="29" t="s">
        <v>14</v>
      </c>
      <c r="C6" s="15">
        <f>IFERROR(VLOOKUP(B6,'Dept. A'!B:C,2,FALSE),0)+IFERROR(VLOOKUP(B6,'Dept. B'!B:C,2,FALSE),0)+IFERROR(VLOOKUP(B6,'Dept. C'!B:C,2,FALSE),0)</f>
        <v>600</v>
      </c>
    </row>
    <row r="7" spans="2:6" x14ac:dyDescent="0.35">
      <c r="B7" s="4" t="s">
        <v>15</v>
      </c>
      <c r="C7" s="15">
        <f>IFERROR(VLOOKUP(B7,'Dept. A'!B:C,2,FALSE),0)+IFERROR(VLOOKUP(B7,'Dept. B'!B:C,2,FALSE),0)+IFERROR(VLOOKUP(B7,'Dept. C'!B:C,2,FALSE),0)</f>
        <v>1000</v>
      </c>
    </row>
    <row r="8" spans="2:6" x14ac:dyDescent="0.35">
      <c r="B8" s="2" t="s">
        <v>2</v>
      </c>
      <c r="C8" s="15">
        <f>IFERROR(VLOOKUP(B8,'Dept. A'!B:C,2,FALSE),0)+IFERROR(VLOOKUP(B8,'Dept. B'!B:C,2,FALSE),0)+IFERROR(VLOOKUP(B8,'Dept. C'!B:C,2,FALSE),0)</f>
        <v>400</v>
      </c>
    </row>
    <row r="9" spans="2:6" x14ac:dyDescent="0.35">
      <c r="B9" s="30" t="s">
        <v>3</v>
      </c>
      <c r="C9" s="15">
        <f>IFERROR(VLOOKUP(B9,'Dept. A'!B:C,2,FALSE),0)+IFERROR(VLOOKUP(B9,'Dept. B'!B:C,2,FALSE),0)+IFERROR(VLOOKUP(B9,'Dept. C'!B:C,2,FALSE),0)</f>
        <v>450</v>
      </c>
      <c r="E9" s="9"/>
    </row>
    <row r="10" spans="2:6" x14ac:dyDescent="0.35">
      <c r="B10" s="2" t="s">
        <v>4</v>
      </c>
      <c r="C10" s="15">
        <f>IFERROR(VLOOKUP(B10,'Dept. A'!B:C,2,FALSE),0)+IFERROR(VLOOKUP(B10,'Dept. B'!B:C,2,FALSE),0)+IFERROR(VLOOKUP(B10,'Dept. C'!B:C,2,FALSE),0)</f>
        <v>160</v>
      </c>
    </row>
    <row r="11" spans="2:6" x14ac:dyDescent="0.35">
      <c r="B11" s="29" t="s">
        <v>7</v>
      </c>
      <c r="C11" s="15">
        <f>IFERROR(VLOOKUP(B11,'Dept. A'!B:C,2,FALSE),0)+IFERROR(VLOOKUP(B11,'Dept. B'!B:C,2,FALSE),0)+IFERROR(VLOOKUP(B11,'Dept. C'!B:C,2,FALSE),0)</f>
        <v>365</v>
      </c>
    </row>
    <row r="12" spans="2:6" x14ac:dyDescent="0.35">
      <c r="B12" s="4" t="s">
        <v>8</v>
      </c>
      <c r="C12" s="15">
        <f>IFERROR(VLOOKUP(B12,'Dept. A'!B:C,2,FALSE),0)+IFERROR(VLOOKUP(B12,'Dept. B'!B:C,2,FALSE),0)+IFERROR(VLOOKUP(B12,'Dept. C'!B:C,2,FALSE),0)</f>
        <v>286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"/>
  <sheetViews>
    <sheetView showGridLines="0" zoomScaleNormal="100" workbookViewId="0">
      <selection activeCell="H3" sqref="H3"/>
    </sheetView>
  </sheetViews>
  <sheetFormatPr defaultColWidth="9.08984375" defaultRowHeight="14.5" x14ac:dyDescent="0.35"/>
  <cols>
    <col min="1" max="1" width="1.90625" customWidth="1"/>
    <col min="2" max="2" width="12.36328125" customWidth="1"/>
    <col min="3" max="3" width="15.90625" customWidth="1"/>
    <col min="4" max="4" width="3.453125" customWidth="1"/>
    <col min="5" max="6" width="11" customWidth="1"/>
    <col min="7" max="7" width="18.453125" bestFit="1" customWidth="1"/>
    <col min="8" max="8" width="11" customWidth="1"/>
    <col min="9" max="9" width="15" customWidth="1"/>
  </cols>
  <sheetData>
    <row r="1" spans="2:9" ht="10.65" customHeight="1" x14ac:dyDescent="0.35"/>
    <row r="2" spans="2:9" x14ac:dyDescent="0.35">
      <c r="B2" s="1" t="s">
        <v>17</v>
      </c>
      <c r="C2" s="5" t="s">
        <v>0</v>
      </c>
      <c r="E2" s="7" t="s">
        <v>18</v>
      </c>
      <c r="F2" s="11" t="s">
        <v>19</v>
      </c>
      <c r="G2" s="12" t="s">
        <v>21</v>
      </c>
      <c r="H2" s="11" t="s">
        <v>20</v>
      </c>
      <c r="I2" s="10" t="s">
        <v>0</v>
      </c>
    </row>
    <row r="3" spans="2:9" x14ac:dyDescent="0.35">
      <c r="B3" s="2" t="s">
        <v>5</v>
      </c>
      <c r="C3" s="14">
        <f>IFERROR(VLOOKUP(B3,'Dept. A'!B:C,2,FALSE),0)+IFERROR(VLOOKUP(B3,'Dept. B'!B:C,2,FALSE),0)+IFERROR(VLOOKUP(B3,'Dept. C'!B:C,2,FALSE),0)</f>
        <v>258</v>
      </c>
      <c r="E3" s="16">
        <f>IFERROR(VLOOKUP(B3,'Dept. A'!B:C,2,FALSE),"NA")</f>
        <v>258</v>
      </c>
      <c r="F3" s="17" t="str">
        <f>IFERROR(VLOOKUP(B3,'Dept. B'!B:C,2,FALSE),"NA")</f>
        <v>NA</v>
      </c>
      <c r="G3" s="18">
        <f>IF(AND(E3="NA",F3="NA"),"NA",IF(E3="NA",0,E3)+IF(F3="NA",0,F3))</f>
        <v>258</v>
      </c>
      <c r="H3" s="17" t="str">
        <f>IFERROR(VLOOKUP(B3,'Dept. C'!B:C,2,FALSE),"NA")</f>
        <v>NA</v>
      </c>
      <c r="I3" s="19">
        <f>IF(AND(G3="NA",H3="NA"),"NA",IF(G3="NA",0,G3)+IF(H3="NA",0,H3))</f>
        <v>258</v>
      </c>
    </row>
    <row r="4" spans="2:9" x14ac:dyDescent="0.35">
      <c r="B4" s="2" t="s">
        <v>9</v>
      </c>
      <c r="C4" s="14">
        <f>IFERROR(VLOOKUP(B4,'Dept. A'!B:C,2,FALSE),0)+IFERROR(VLOOKUP(B4,'Dept. B'!B:C,2,FALSE),0)+IFERROR(VLOOKUP(B4,'Dept. C'!B:C,2,FALSE),0)</f>
        <v>668</v>
      </c>
      <c r="E4" s="16" t="str">
        <f>IFERROR(VLOOKUP(B4,'Dept. A'!B:C,2,FALSE),"NA")</f>
        <v>NA</v>
      </c>
      <c r="F4" s="17">
        <f>IFERROR(VLOOKUP(B4,'Dept. B'!B:C,2,FALSE),"NA")</f>
        <v>668</v>
      </c>
      <c r="G4" s="18">
        <f t="shared" ref="G4:G7" si="0">IF(AND(E4="NA",F4="NA"),"NA",IF(E4="NA",0,E4)+IF(F4="NA",0,F4))</f>
        <v>668</v>
      </c>
      <c r="H4" s="17" t="str">
        <f>IFERROR(VLOOKUP(B4,'Dept. C'!B:C,2,FALSE),"NA")</f>
        <v>NA</v>
      </c>
      <c r="I4" s="19">
        <f t="shared" ref="I4:I7" si="1">IF(AND(G4="NA",H4="NA"),"NA",IF(G4="NA",0,G4)+IF(H4="NA",0,H4))</f>
        <v>668</v>
      </c>
    </row>
    <row r="5" spans="2:9" x14ac:dyDescent="0.35">
      <c r="B5" s="2" t="s">
        <v>4</v>
      </c>
      <c r="C5" s="14">
        <f>IFERROR(VLOOKUP(B5,'Dept. A'!B:C,2,FALSE),0)+IFERROR(VLOOKUP(B5,'Dept. B'!B:C,2,FALSE),0)+IFERROR(VLOOKUP(B5,'Dept. C'!B:C,2,FALSE),0)</f>
        <v>160</v>
      </c>
      <c r="E5" s="16">
        <f>IFERROR(VLOOKUP(B5,'Dept. A'!B:C,2,FALSE),"NA")</f>
        <v>160</v>
      </c>
      <c r="F5" s="17" t="str">
        <f>IFERROR(VLOOKUP(B5,'Dept. B'!B:C,2,FALSE),"NA")</f>
        <v>NA</v>
      </c>
      <c r="G5" s="18">
        <f t="shared" si="0"/>
        <v>160</v>
      </c>
      <c r="H5" s="17" t="str">
        <f>IFERROR(VLOOKUP(B5,'Dept. C'!B:C,2,FALSE),"NA")</f>
        <v>NA</v>
      </c>
      <c r="I5" s="19">
        <f t="shared" si="1"/>
        <v>160</v>
      </c>
    </row>
    <row r="6" spans="2:9" x14ac:dyDescent="0.35">
      <c r="B6" s="29" t="s">
        <v>14</v>
      </c>
      <c r="C6" s="14">
        <f>IFERROR(VLOOKUP(B6,'Dept. A'!B:C,2,FALSE),0)+IFERROR(VLOOKUP(B6,'Dept. B'!B:C,2,FALSE),0)+IFERROR(VLOOKUP(B6,'Dept. C'!B:C,2,FALSE),0)</f>
        <v>600</v>
      </c>
      <c r="E6" s="16" t="str">
        <f>IFERROR(VLOOKUP(B6,'Dept. A'!B:C,2,FALSE),"NA")</f>
        <v>NA</v>
      </c>
      <c r="F6" s="17" t="str">
        <f>IFERROR(VLOOKUP(B6,'Dept. B'!B:C,2,FALSE),"NA")</f>
        <v>NA</v>
      </c>
      <c r="G6" s="18" t="str">
        <f t="shared" si="0"/>
        <v>NA</v>
      </c>
      <c r="H6" s="17">
        <f>IFERROR(VLOOKUP(B6,'Dept. C'!B:C,2,FALSE),"NA")</f>
        <v>600</v>
      </c>
      <c r="I6" s="19">
        <f t="shared" si="1"/>
        <v>600</v>
      </c>
    </row>
    <row r="7" spans="2:9" x14ac:dyDescent="0.35">
      <c r="B7" s="4" t="s">
        <v>3</v>
      </c>
      <c r="C7" s="14">
        <f>IFERROR(VLOOKUP(B7,'Dept. A'!B:C,2,FALSE),0)+IFERROR(VLOOKUP(B7,'Dept. B'!B:C,2,FALSE),0)+IFERROR(VLOOKUP(B7,'Dept. C'!B:C,2,FALSE),0)</f>
        <v>450</v>
      </c>
      <c r="E7" s="16">
        <f>IFERROR(VLOOKUP(B7,'Dept. A'!B:C,2,FALSE),"NA")</f>
        <v>450</v>
      </c>
      <c r="F7" s="17" t="str">
        <f>IFERROR(VLOOKUP(B7,'Dept. B'!B:C,2,FALSE),"NA")</f>
        <v>NA</v>
      </c>
      <c r="G7" s="18">
        <f t="shared" si="0"/>
        <v>450</v>
      </c>
      <c r="H7" s="17" t="str">
        <f>IFERROR(VLOOKUP(B7,'Dept. C'!B:C,2,FALSE),"NA")</f>
        <v>NA</v>
      </c>
      <c r="I7" s="19">
        <f t="shared" si="1"/>
        <v>450</v>
      </c>
    </row>
    <row r="9" spans="2:9" x14ac:dyDescent="0.35">
      <c r="E9" s="9"/>
    </row>
    <row r="11" spans="2:9" x14ac:dyDescent="0.35">
      <c r="B11" s="13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"/>
  <sheetViews>
    <sheetView showGridLines="0" tabSelected="1" workbookViewId="0">
      <selection activeCell="H9" sqref="H9"/>
    </sheetView>
  </sheetViews>
  <sheetFormatPr defaultRowHeight="14.5" x14ac:dyDescent="0.35"/>
  <sheetData>
    <row r="2" spans="1:9" x14ac:dyDescent="0.35">
      <c r="B2" s="10" t="s">
        <v>22</v>
      </c>
      <c r="C2" s="10" t="s">
        <v>23</v>
      </c>
      <c r="D2" s="10" t="s">
        <v>24</v>
      </c>
      <c r="E2" s="22"/>
      <c r="F2" s="10" t="s">
        <v>22</v>
      </c>
      <c r="G2" s="10" t="s">
        <v>23</v>
      </c>
      <c r="H2" s="10" t="s">
        <v>24</v>
      </c>
    </row>
    <row r="3" spans="1:9" x14ac:dyDescent="0.35">
      <c r="A3" s="22"/>
      <c r="B3" s="31" t="s">
        <v>25</v>
      </c>
      <c r="C3" s="31" t="s">
        <v>26</v>
      </c>
      <c r="D3" s="31">
        <v>90</v>
      </c>
      <c r="E3" s="22"/>
      <c r="F3" s="32" t="s">
        <v>25</v>
      </c>
      <c r="G3" s="32" t="s">
        <v>27</v>
      </c>
      <c r="H3" s="33">
        <f t="array" ref="H3">INDEX(D3:D7,MATCH(1,(B3:B7=F3)*(C3:C7=G3),0))</f>
        <v>95</v>
      </c>
      <c r="I3" s="22"/>
    </row>
    <row r="4" spans="1:9" x14ac:dyDescent="0.35">
      <c r="A4" s="22"/>
      <c r="B4" s="32" t="s">
        <v>25</v>
      </c>
      <c r="C4" s="32" t="s">
        <v>27</v>
      </c>
      <c r="D4" s="32">
        <v>95</v>
      </c>
      <c r="E4" s="22"/>
      <c r="F4" s="32" t="s">
        <v>29</v>
      </c>
      <c r="G4" s="32" t="s">
        <v>27</v>
      </c>
      <c r="H4" s="33">
        <f t="array" ref="H4">INDEX(D4:D8,MATCH(1,(B4:B8=F4)*(C4:C8=G4),0))</f>
        <v>80</v>
      </c>
      <c r="I4" s="22"/>
    </row>
    <row r="5" spans="1:9" x14ac:dyDescent="0.35">
      <c r="A5" s="22"/>
      <c r="B5" s="31" t="s">
        <v>28</v>
      </c>
      <c r="C5" s="31" t="s">
        <v>26</v>
      </c>
      <c r="D5" s="31">
        <v>85</v>
      </c>
      <c r="E5" s="22"/>
      <c r="F5" s="22"/>
      <c r="G5" s="22"/>
      <c r="H5" s="22"/>
      <c r="I5" s="22"/>
    </row>
    <row r="6" spans="1:9" x14ac:dyDescent="0.35">
      <c r="A6" s="22"/>
      <c r="B6" s="32" t="s">
        <v>29</v>
      </c>
      <c r="C6" s="32" t="s">
        <v>26</v>
      </c>
      <c r="D6" s="32">
        <v>100</v>
      </c>
      <c r="E6" s="22"/>
      <c r="F6" s="22"/>
      <c r="G6" s="22"/>
      <c r="H6" s="22"/>
      <c r="I6" s="22"/>
    </row>
    <row r="7" spans="1:9" x14ac:dyDescent="0.35">
      <c r="A7" s="22"/>
      <c r="B7" s="31" t="s">
        <v>29</v>
      </c>
      <c r="C7" s="31" t="s">
        <v>27</v>
      </c>
      <c r="D7" s="31">
        <v>80</v>
      </c>
      <c r="E7" s="22"/>
      <c r="F7" s="22"/>
      <c r="G7" s="22"/>
      <c r="H7" s="22"/>
      <c r="I7" s="22"/>
    </row>
    <row r="8" spans="1:9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x14ac:dyDescent="0.35">
      <c r="A9" s="22"/>
      <c r="B9" s="22"/>
      <c r="C9" s="22"/>
      <c r="D9" s="22"/>
      <c r="E9" s="22"/>
      <c r="F9" s="22"/>
      <c r="G9" s="22"/>
      <c r="H9" s="22"/>
      <c r="I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Dept. A</vt:lpstr>
      <vt:lpstr>Dept. B</vt:lpstr>
      <vt:lpstr>Dept. C</vt:lpstr>
      <vt:lpstr>Consolidate</vt:lpstr>
      <vt:lpstr>Breakdown</vt:lpstr>
      <vt:lpstr>Index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Twyndyllyne</dc:creator>
  <cp:lastModifiedBy>Dell</cp:lastModifiedBy>
  <dcterms:created xsi:type="dcterms:W3CDTF">2015-06-05T18:17:20Z</dcterms:created>
  <dcterms:modified xsi:type="dcterms:W3CDTF">2026-03-24T11:32:37Z</dcterms:modified>
</cp:coreProperties>
</file>